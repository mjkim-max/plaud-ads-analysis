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별 캠페인" sheetId="1" state="visible" r:id="rId3"/>
    <sheet name="캠페인별 생존기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<sst xmlns="http://schemas.openxmlformats.org/spreadsheetml/2006/main" count="544" uniqueCount="213">
  <si>
    <r>
      <rPr>
        <b val="true"/>
        <sz val="11"/>
        <color rgb="FFFFFFFF"/>
        <rFont val="Noto Sans CJK SC"/>
        <family val="2"/>
      </rPr>
      <t xml:space="preserve">주차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월요일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</si>
  <si>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신설</t>
  </si>
  <si>
    <t xml:space="preserve">종료</t>
  </si>
  <si>
    <t xml:space="preserve">동시활성</t>
  </si>
  <si>
    <r>
      <rPr>
        <b val="true"/>
        <sz val="11"/>
        <color rgb="FFFFFFFF"/>
        <rFont val="Noto Sans CJK SC"/>
        <family val="2"/>
      </rPr>
      <t xml:space="preserve">순증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신설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종료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</si>
  <si>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2026-01-05</t>
  </si>
  <si>
    <t xml:space="preserve">2026-01-12</t>
  </si>
  <si>
    <t xml:space="preserve">2026-01-19</t>
  </si>
  <si>
    <t xml:space="preserve">2026-01-26</t>
  </si>
  <si>
    <t xml:space="preserve">2026-02-02</t>
  </si>
  <si>
    <t xml:space="preserve">2026-02-09</t>
  </si>
  <si>
    <t xml:space="preserve">2026-02-16</t>
  </si>
  <si>
    <t xml:space="preserve">2026-02-23</t>
  </si>
  <si>
    <t xml:space="preserve">2026-03-02</t>
  </si>
  <si>
    <t xml:space="preserve">2026-03-09</t>
  </si>
  <si>
    <t xml:space="preserve">2026-03-16</t>
  </si>
  <si>
    <t xml:space="preserve">2026-03-23</t>
  </si>
  <si>
    <t xml:space="preserve">2026-03-30</t>
  </si>
  <si>
    <t xml:space="preserve">2026-04-06</t>
  </si>
  <si>
    <t xml:space="preserve">2026-04-13</t>
  </si>
  <si>
    <t xml:space="preserve">2026-04-20</t>
  </si>
  <si>
    <t xml:space="preserve">2026-04-27</t>
  </si>
  <si>
    <t xml:space="preserve">2026-05-04</t>
  </si>
  <si>
    <t xml:space="preserve">2026-05-11</t>
  </si>
  <si>
    <t xml:space="preserve">2026-05-18</t>
  </si>
  <si>
    <t xml:space="preserve">2026-05-25</t>
  </si>
  <si>
    <t xml:space="preserve">2026-06-01</t>
  </si>
  <si>
    <t xml:space="preserve">2026-06-08</t>
  </si>
  <si>
    <t xml:space="preserve">2026-06-15</t>
  </si>
  <si>
    <t xml:space="preserve">2026-06-22</t>
  </si>
  <si>
    <t xml:space="preserve">2026-06-29</t>
  </si>
  <si>
    <t xml:space="preserve">2026-07-06</t>
  </si>
  <si>
    <t xml:space="preserve">합계</t>
  </si>
  <si>
    <r>
      <rPr>
        <i val="true"/>
        <sz val="9"/>
        <color rgb="FF808080"/>
        <rFont val="Noto Sans CJK SC"/>
        <family val="2"/>
      </rPr>
      <t xml:space="preserve">※ 종료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마지막 지출일이 데이터 마감</t>
    </r>
    <r>
      <rPr>
        <i val="true"/>
        <sz val="9"/>
        <color rgb="FF808080"/>
        <rFont val="Arial"/>
        <family val="0"/>
        <charset val="1"/>
      </rPr>
      <t xml:space="preserve">(2026-07-07) </t>
    </r>
    <r>
      <rPr>
        <i val="true"/>
        <sz val="9"/>
        <color rgb="FF808080"/>
        <rFont val="Noto Sans CJK SC"/>
        <family val="2"/>
      </rPr>
      <t xml:space="preserve">직전인 캠페인만 집계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진행중 제외</t>
    </r>
    <r>
      <rPr>
        <i val="true"/>
        <sz val="9"/>
        <color rgb="FF808080"/>
        <rFont val="Arial"/>
        <family val="0"/>
        <charset val="1"/>
      </rPr>
      <t xml:space="preserve">). </t>
    </r>
    <r>
      <rPr>
        <i val="true"/>
        <sz val="9"/>
        <color rgb="FF808080"/>
        <rFont val="Noto Sans CJK SC"/>
        <family val="2"/>
      </rPr>
      <t xml:space="preserve">활성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해당 주 지출 존재 캠페인 수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</si>
  <si>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캠페인</t>
  </si>
  <si>
    <r>
      <rPr>
        <b val="true"/>
        <sz val="11"/>
        <color rgb="FFFFFFFF"/>
        <rFont val="Noto Sans CJK SC"/>
        <family val="2"/>
      </rPr>
      <t xml:space="preserve">생성일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첫지출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</si>
  <si>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종료일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마지막지출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</si>
  <si>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생존일수</t>
  </si>
  <si>
    <t xml:space="preserve">상태</t>
  </si>
  <si>
    <r>
      <rPr>
        <b val="true"/>
        <sz val="11"/>
        <color rgb="FFFFFFFF"/>
        <rFont val="Noto Sans CJK SC"/>
        <family val="2"/>
      </rPr>
      <t xml:space="preserve">총지출</t>
    </r>
    <r>
      <rPr>
        <b val="true"/>
        <sz val="11"/>
        <color rgb="FFFFFFFF"/>
        <rFont val="Arial"/>
        <family val="0"/>
        <charset val="1"/>
      </rPr>
      <t xml:space="preserve">(KRW)</t>
    </r>
  </si>
  <si>
    <t xml:space="preserve">총구매</t>
  </si>
  <si>
    <t xml:space="preserve">CPA(KRW)</t>
  </si>
  <si>
    <r>
      <rPr>
        <sz val="10"/>
        <rFont val="Arial"/>
        <family val="0"/>
        <charset val="1"/>
      </rPr>
      <t xml:space="preserve">251201_PP_</t>
    </r>
    <r>
      <rPr>
        <sz val="10"/>
        <rFont val="Noto Sans CJK SC"/>
        <family val="2"/>
      </rPr>
      <t xml:space="preserve">이미지</t>
    </r>
  </si>
  <si>
    <t xml:space="preserve">2026-01-01</t>
  </si>
  <si>
    <t xml:space="preserve">2026-07-07</t>
  </si>
  <si>
    <t xml:space="preserve">진행중</t>
  </si>
  <si>
    <r>
      <rPr>
        <sz val="10"/>
        <rFont val="Arial"/>
        <family val="0"/>
        <charset val="1"/>
      </rPr>
      <t xml:space="preserve">251208_PP_</t>
    </r>
    <r>
      <rPr>
        <sz val="10"/>
        <rFont val="Noto Sans CJK SC"/>
        <family val="2"/>
      </rPr>
      <t xml:space="preserve">이미지</t>
    </r>
  </si>
  <si>
    <r>
      <rPr>
        <sz val="10"/>
        <rFont val="Arial"/>
        <family val="0"/>
        <charset val="1"/>
      </rPr>
      <t xml:space="preserve">251229_PP_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</si>
  <si>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260202_PP_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2 (</t>
    </r>
    <r>
      <rPr>
        <sz val="10"/>
        <rFont val="Noto Sans CJK SC"/>
        <family val="2"/>
      </rPr>
      <t xml:space="preserve">말하기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자취남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</si>
  <si>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260316_</t>
    </r>
    <r>
      <rPr>
        <sz val="10"/>
        <rFont val="Noto Sans CJK SC"/>
        <family val="2"/>
      </rPr>
      <t xml:space="preserve">리타게팅테스트 </t>
    </r>
    <r>
      <rPr>
        <sz val="10"/>
        <rFont val="Arial"/>
        <family val="0"/>
        <charset val="1"/>
      </rPr>
      <t xml:space="preserve">/ PV(FQ2/Win10)</t>
    </r>
  </si>
  <si>
    <r>
      <rPr>
        <sz val="10"/>
        <rFont val="Arial"/>
        <family val="0"/>
        <charset val="1"/>
      </rPr>
      <t xml:space="preserve">250716_NP_</t>
    </r>
    <r>
      <rPr>
        <sz val="10"/>
        <rFont val="Noto Sans CJK SC"/>
        <family val="2"/>
      </rPr>
      <t xml:space="preserve">리타게팅</t>
    </r>
  </si>
  <si>
    <t xml:space="preserve">2026-04-03</t>
  </si>
  <si>
    <r>
      <rPr>
        <sz val="10"/>
        <rFont val="Arial"/>
        <family val="0"/>
        <charset val="1"/>
      </rPr>
      <t xml:space="preserve">260324_PP_</t>
    </r>
    <r>
      <rPr>
        <sz val="10"/>
        <rFont val="Noto Sans CJK SC"/>
        <family val="2"/>
      </rPr>
      <t xml:space="preserve">리타게팅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정</t>
    </r>
    <r>
      <rPr>
        <sz val="10"/>
        <rFont val="Arial"/>
        <family val="0"/>
        <charset val="1"/>
      </rPr>
      <t xml:space="preserve">)</t>
    </r>
  </si>
  <si>
    <t xml:space="preserve">2026-03-24</t>
  </si>
  <si>
    <t xml:space="preserve">2026-06-10</t>
  </si>
  <si>
    <r>
      <rPr>
        <sz val="10"/>
        <rFont val="Arial"/>
        <family val="0"/>
        <charset val="1"/>
      </rPr>
      <t xml:space="preserve">260112_NP_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</si>
  <si>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260504_PP_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택하다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영어공부편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</si>
  <si>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260420_PP_(</t>
    </r>
    <r>
      <rPr>
        <sz val="10"/>
        <rFont val="Noto Sans CJK SC"/>
        <family val="2"/>
      </rPr>
      <t xml:space="preserve">세비아</t>
    </r>
    <r>
      <rPr>
        <sz val="10"/>
        <rFont val="Arial"/>
        <family val="0"/>
        <charset val="1"/>
      </rPr>
      <t xml:space="preserve">)</t>
    </r>
  </si>
  <si>
    <t xml:space="preserve">2026-06-19</t>
  </si>
  <si>
    <r>
      <rPr>
        <sz val="10"/>
        <rFont val="Arial"/>
        <family val="0"/>
        <charset val="1"/>
      </rPr>
      <t xml:space="preserve">260316_PP_(</t>
    </r>
    <r>
      <rPr>
        <sz val="10"/>
        <rFont val="Noto Sans CJK SC"/>
        <family val="2"/>
      </rPr>
      <t xml:space="preserve">깔쌈픽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리빙다움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꿀템메이트</t>
    </r>
    <r>
      <rPr>
        <sz val="10"/>
        <rFont val="Arial"/>
        <family val="0"/>
        <charset val="1"/>
      </rPr>
      <t xml:space="preserve">)</t>
    </r>
  </si>
  <si>
    <t xml:space="preserve">2026-05-13</t>
  </si>
  <si>
    <r>
      <rPr>
        <sz val="10"/>
        <rFont val="Arial"/>
        <family val="0"/>
        <charset val="1"/>
      </rPr>
      <t xml:space="preserve">260511_PP_(</t>
    </r>
    <r>
      <rPr>
        <sz val="10"/>
        <rFont val="Noto Sans CJK SC"/>
        <family val="2"/>
      </rPr>
      <t xml:space="preserve">지연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꼼꼼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똑솔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공대생락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의대생지나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뉴즈로그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유니시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</si>
  <si>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260511_PP_(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템플릿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회의록</t>
    </r>
    <r>
      <rPr>
        <sz val="10"/>
        <rFont val="Arial"/>
        <family val="0"/>
        <charset val="1"/>
      </rPr>
      <t xml:space="preserve">,hansol,</t>
    </r>
    <r>
      <rPr>
        <sz val="10"/>
        <rFont val="Noto Sans CJK SC"/>
        <family val="2"/>
      </rPr>
      <t xml:space="preserve">토비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</si>
  <si>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260330_PP_(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회의록작성 및 공유편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(ASK PLAUD </t>
    </r>
    <r>
      <rPr>
        <sz val="10"/>
        <rFont val="Noto Sans CJK SC"/>
        <family val="2"/>
      </rPr>
      <t xml:space="preserve">기능편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토비</t>
    </r>
    <r>
      <rPr>
        <sz val="10"/>
        <rFont val="Arial"/>
        <family val="0"/>
        <charset val="1"/>
      </rPr>
      <t xml:space="preserve">)</t>
    </r>
  </si>
  <si>
    <t xml:space="preserve">2026-05-22</t>
  </si>
  <si>
    <r>
      <rPr>
        <sz val="10"/>
        <rFont val="Arial"/>
        <family val="0"/>
        <charset val="1"/>
      </rPr>
      <t xml:space="preserve">260309_PP(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룸룸룸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뉴즈로그</t>
    </r>
    <r>
      <rPr>
        <sz val="10"/>
        <rFont val="Arial"/>
        <family val="0"/>
        <charset val="1"/>
      </rPr>
      <t xml:space="preserve">)</t>
    </r>
  </si>
  <si>
    <t xml:space="preserve">2026-04-29</t>
  </si>
  <si>
    <r>
      <rPr>
        <sz val="10"/>
        <rFont val="Arial"/>
        <family val="0"/>
        <charset val="1"/>
      </rPr>
      <t xml:space="preserve">260518_PP(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3,</t>
    </r>
    <r>
      <rPr>
        <sz val="10"/>
        <rFont val="Noto Sans CJK SC"/>
        <family val="2"/>
      </rPr>
      <t xml:space="preserve">공대생락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</si>
  <si>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260427_PP_(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 오토플로우</t>
    </r>
    <r>
      <rPr>
        <sz val="10"/>
        <rFont val="Arial"/>
        <family val="0"/>
        <charset val="1"/>
      </rPr>
      <t xml:space="preserve">,hansol wi)</t>
    </r>
  </si>
  <si>
    <t xml:space="preserve">2026-06-12</t>
  </si>
  <si>
    <r>
      <rPr>
        <sz val="10"/>
        <rFont val="Arial"/>
        <family val="0"/>
        <charset val="1"/>
      </rPr>
      <t xml:space="preserve">260309_PP(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유니시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토비</t>
    </r>
    <r>
      <rPr>
        <sz val="10"/>
        <rFont val="Arial"/>
        <family val="0"/>
        <charset val="1"/>
      </rPr>
      <t xml:space="preserve">)</t>
    </r>
  </si>
  <si>
    <t xml:space="preserve">2026-04-24</t>
  </si>
  <si>
    <r>
      <rPr>
        <sz val="10"/>
        <rFont val="Arial"/>
        <family val="0"/>
        <charset val="1"/>
      </rPr>
      <t xml:space="preserve">260223_PP_</t>
    </r>
    <r>
      <rPr>
        <sz val="10"/>
        <rFont val="Noto Sans CJK SC"/>
        <family val="2"/>
      </rPr>
      <t xml:space="preserve">마이너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인디샵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)</t>
    </r>
  </si>
  <si>
    <t xml:space="preserve">2026-04-08</t>
  </si>
  <si>
    <r>
      <rPr>
        <sz val="10"/>
        <rFont val="Arial"/>
        <family val="0"/>
        <charset val="1"/>
      </rPr>
      <t xml:space="preserve">251208_PP_</t>
    </r>
    <r>
      <rPr>
        <sz val="10"/>
        <rFont val="Noto Sans CJK SC"/>
        <family val="2"/>
      </rPr>
      <t xml:space="preserve">리타게팅</t>
    </r>
  </si>
  <si>
    <t xml:space="preserve">2026-02-13</t>
  </si>
  <si>
    <r>
      <rPr>
        <sz val="10"/>
        <rFont val="Arial"/>
        <family val="0"/>
        <charset val="1"/>
      </rPr>
      <t xml:space="preserve">260526_PP_</t>
    </r>
    <r>
      <rPr>
        <sz val="10"/>
        <rFont val="Noto Sans CJK SC"/>
        <family val="2"/>
      </rPr>
      <t xml:space="preserve">똑솔이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리빙다움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</t>
    </r>
  </si>
  <si>
    <t xml:space="preserve">2026-05-26</t>
  </si>
  <si>
    <r>
      <rPr>
        <sz val="10"/>
        <rFont val="Arial"/>
        <family val="0"/>
        <charset val="1"/>
      </rPr>
      <t xml:space="preserve">260526_PP(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행복나무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박은지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</si>
  <si>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260526_PP(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3,</t>
    </r>
    <r>
      <rPr>
        <sz val="10"/>
        <rFont val="Noto Sans CJK SC"/>
        <family val="2"/>
      </rPr>
      <t xml:space="preserve">택하다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욤이집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푸들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</si>
  <si>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260303_PP_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말하기공식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인디샵</t>
    </r>
    <r>
      <rPr>
        <sz val="10"/>
        <rFont val="Arial"/>
        <family val="0"/>
        <charset val="1"/>
      </rPr>
      <t xml:space="preserve">)</t>
    </r>
  </si>
  <si>
    <t xml:space="preserve">2026-03-03</t>
  </si>
  <si>
    <r>
      <rPr>
        <sz val="10"/>
        <rFont val="Arial"/>
        <family val="0"/>
        <charset val="1"/>
      </rPr>
      <t xml:space="preserve">260219_NP_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리빙다움</t>
    </r>
    <r>
      <rPr>
        <sz val="10"/>
        <rFont val="Arial"/>
        <family val="0"/>
        <charset val="1"/>
      </rPr>
      <t xml:space="preserve">)</t>
    </r>
  </si>
  <si>
    <t xml:space="preserve">2026-02-19</t>
  </si>
  <si>
    <t xml:space="preserve">2026-04-01</t>
  </si>
  <si>
    <r>
      <rPr>
        <sz val="10"/>
        <rFont val="Arial"/>
        <family val="0"/>
        <charset val="1"/>
      </rPr>
      <t xml:space="preserve">260406_PP_(</t>
    </r>
    <r>
      <rPr>
        <sz val="10"/>
        <rFont val="Noto Sans CJK SC"/>
        <family val="2"/>
      </rPr>
      <t xml:space="preserve">꿀메이트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살림알림</t>
    </r>
    <r>
      <rPr>
        <sz val="10"/>
        <rFont val="Arial"/>
        <family val="0"/>
        <charset val="1"/>
      </rPr>
      <t xml:space="preserve">)</t>
    </r>
  </si>
  <si>
    <t xml:space="preserve">2026-05-15</t>
  </si>
  <si>
    <r>
      <rPr>
        <sz val="10"/>
        <rFont val="Arial"/>
        <family val="0"/>
        <charset val="1"/>
      </rPr>
      <t xml:space="preserve">260601_PP_(</t>
    </r>
    <r>
      <rPr>
        <sz val="10"/>
        <rFont val="Noto Sans CJK SC"/>
        <family val="2"/>
      </rPr>
      <t xml:space="preserve">유집이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지피다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또리뷰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뎁프로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</si>
  <si>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260504_PP_(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회의록작성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또리뷰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</si>
  <si>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260316_PP_(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세비아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지연이네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룸룸룸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</si>
  <si>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260119_PP_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_(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</si>
  <si>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260511_PP_(</t>
    </r>
    <r>
      <rPr>
        <sz val="10"/>
        <rFont val="Noto Sans CJK SC"/>
        <family val="2"/>
      </rPr>
      <t xml:space="preserve">또리뷰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택하다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뎁프로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자취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밍구필름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</si>
  <si>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260427_PP_</t>
    </r>
    <r>
      <rPr>
        <sz val="10"/>
        <rFont val="Noto Sans CJK SC"/>
        <family val="2"/>
      </rPr>
      <t xml:space="preserve">마이너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ASK PLAUD)</t>
    </r>
  </si>
  <si>
    <t xml:space="preserve">2026-05-29</t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</si>
  <si>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1,2,3,</t>
    </r>
    <r>
      <rPr>
        <sz val="10"/>
        <rFont val="Noto Sans CJK SC"/>
        <family val="2"/>
      </rPr>
      <t xml:space="preserve">지피다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뎁프로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</si>
  <si>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260303_PP_(</t>
    </r>
    <r>
      <rPr>
        <sz val="10"/>
        <rFont val="Noto Sans CJK SC"/>
        <family val="2"/>
      </rPr>
      <t xml:space="preserve">살림알림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룸룸룸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뉴즈로그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</si>
  <si>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251222_PP_</t>
    </r>
    <r>
      <rPr>
        <sz val="10"/>
        <rFont val="Noto Sans CJK SC"/>
        <family val="2"/>
      </rPr>
      <t xml:space="preserve">마이너</t>
    </r>
  </si>
  <si>
    <t xml:space="preserve">2026-01-30</t>
  </si>
  <si>
    <r>
      <rPr>
        <sz val="10"/>
        <rFont val="Arial"/>
        <family val="0"/>
        <charset val="1"/>
      </rPr>
      <t xml:space="preserve">260323_PP_(</t>
    </r>
    <r>
      <rPr>
        <sz val="10"/>
        <rFont val="Noto Sans CJK SC"/>
        <family val="2"/>
      </rPr>
      <t xml:space="preserve">지연이네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꿀템메이트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토비</t>
    </r>
    <r>
      <rPr>
        <sz val="10"/>
        <rFont val="Arial"/>
        <family val="0"/>
        <charset val="1"/>
      </rPr>
      <t xml:space="preserve">)</t>
    </r>
  </si>
  <si>
    <t xml:space="preserve">2026-04-17</t>
  </si>
  <si>
    <r>
      <rPr>
        <sz val="10"/>
        <rFont val="Arial"/>
        <family val="0"/>
        <charset val="1"/>
      </rPr>
      <t xml:space="preserve">260309_PP(</t>
    </r>
    <r>
      <rPr>
        <sz val="10"/>
        <rFont val="Noto Sans CJK SC"/>
        <family val="2"/>
      </rPr>
      <t xml:space="preserve">인디샵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살림꼼꼼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공대생락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</si>
  <si>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260112_PP_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_(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)</t>
    </r>
  </si>
  <si>
    <t xml:space="preserve">2026-02-06</t>
  </si>
  <si>
    <r>
      <rPr>
        <sz val="10"/>
        <rFont val="Arial"/>
        <family val="0"/>
        <charset val="1"/>
      </rPr>
      <t xml:space="preserve">260511_PP_(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깔쌈픽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ask,</t>
    </r>
    <r>
      <rPr>
        <sz val="10"/>
        <rFont val="Noto Sans CJK SC"/>
        <family val="2"/>
      </rPr>
      <t xml:space="preserve">제작요약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)</t>
    </r>
  </si>
  <si>
    <t xml:space="preserve">2026-06-04</t>
  </si>
  <si>
    <r>
      <rPr>
        <sz val="10"/>
        <rFont val="Arial"/>
        <family val="0"/>
        <charset val="1"/>
      </rPr>
      <t xml:space="preserve">260119_NP_</t>
    </r>
    <r>
      <rPr>
        <sz val="10"/>
        <rFont val="Noto Sans CJK SC"/>
        <family val="2"/>
      </rPr>
      <t xml:space="preserve">마이너</t>
    </r>
  </si>
  <si>
    <t xml:space="preserve">2026-02-11</t>
  </si>
  <si>
    <r>
      <rPr>
        <sz val="10"/>
        <rFont val="Arial"/>
        <family val="0"/>
        <charset val="1"/>
      </rPr>
      <t xml:space="preserve">260615_NP_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_(</t>
    </r>
    <r>
      <rPr>
        <sz val="10"/>
        <rFont val="Noto Sans CJK SC"/>
        <family val="2"/>
      </rPr>
      <t xml:space="preserve">문화컬쳐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클로이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로끼띠룩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태영작가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성숲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초비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툴앤툴즈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</si>
  <si>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260518_PP_</t>
    </r>
    <r>
      <rPr>
        <sz val="10"/>
        <rFont val="Noto Sans CJK SC"/>
        <family val="2"/>
      </rPr>
      <t xml:space="preserve">레뷰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행복나무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리사권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</si>
  <si>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260420_PP_(</t>
    </r>
    <r>
      <rPr>
        <sz val="10"/>
        <rFont val="Noto Sans CJK SC"/>
        <family val="2"/>
      </rPr>
      <t xml:space="preserve">지연이네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제품소개팅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</si>
  <si>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260406_PP_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1,2,3</t>
    </r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</si>
  <si>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제이든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빈짱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말공</t>
    </r>
    <r>
      <rPr>
        <sz val="10"/>
        <rFont val="Arial"/>
        <family val="0"/>
        <charset val="1"/>
      </rPr>
      <t xml:space="preserve">2)</t>
    </r>
  </si>
  <si>
    <t xml:space="preserve">2026-07-03</t>
  </si>
  <si>
    <r>
      <rPr>
        <sz val="10"/>
        <rFont val="Arial"/>
        <family val="0"/>
        <charset val="1"/>
      </rPr>
      <t xml:space="preserve">260105_PP_</t>
    </r>
    <r>
      <rPr>
        <sz val="10"/>
        <rFont val="Noto Sans CJK SC"/>
        <family val="2"/>
      </rPr>
      <t xml:space="preserve">마이너</t>
    </r>
  </si>
  <si>
    <t xml:space="preserve">2026-01-23</t>
  </si>
  <si>
    <r>
      <rPr>
        <sz val="10"/>
        <rFont val="Arial"/>
        <family val="0"/>
        <charset val="1"/>
      </rPr>
      <t xml:space="preserve">260202_PP_</t>
    </r>
    <r>
      <rPr>
        <sz val="10"/>
        <rFont val="Noto Sans CJK SC"/>
        <family val="2"/>
      </rPr>
      <t xml:space="preserve">마이너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인디샵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</si>
  <si>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유집이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행복나무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)</t>
    </r>
  </si>
  <si>
    <t xml:space="preserve">2026-06-24</t>
  </si>
  <si>
    <r>
      <rPr>
        <sz val="10"/>
        <rFont val="Arial"/>
        <family val="0"/>
        <charset val="1"/>
      </rPr>
      <t xml:space="preserve">260601_PP_(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(ask plaud,</t>
    </r>
    <r>
      <rPr>
        <sz val="10"/>
        <rFont val="Noto Sans CJK SC"/>
        <family val="2"/>
      </rPr>
      <t xml:space="preserve">노션다움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레뷰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말하기공식</t>
    </r>
    <r>
      <rPr>
        <sz val="10"/>
        <rFont val="Arial"/>
        <family val="0"/>
        <charset val="1"/>
      </rPr>
      <t xml:space="preserve">2)</t>
    </r>
  </si>
  <si>
    <t xml:space="preserve">2026-06-17</t>
  </si>
  <si>
    <r>
      <rPr>
        <sz val="10"/>
        <rFont val="Arial"/>
        <family val="0"/>
        <charset val="1"/>
      </rPr>
      <t xml:space="preserve">260427_PP_(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</si>
  <si>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260420_PP_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뎁프로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리아</t>
    </r>
    <r>
      <rPr>
        <sz val="10"/>
        <rFont val="Arial"/>
        <family val="0"/>
        <charset val="1"/>
      </rPr>
      <t xml:space="preserve">)</t>
    </r>
  </si>
  <si>
    <t xml:space="preserve">2026-05-06</t>
  </si>
  <si>
    <r>
      <rPr>
        <sz val="10"/>
        <rFont val="Arial"/>
        <family val="0"/>
        <charset val="1"/>
      </rPr>
      <t xml:space="preserve">260420_PP_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룸룸룸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</si>
  <si>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260114_PP_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_(</t>
    </r>
    <r>
      <rPr>
        <sz val="10"/>
        <rFont val="Noto Sans CJK SC"/>
        <family val="2"/>
      </rPr>
      <t xml:space="preserve">말하기</t>
    </r>
    <r>
      <rPr>
        <sz val="10"/>
        <rFont val="Arial"/>
        <family val="0"/>
        <charset val="1"/>
      </rPr>
      <t xml:space="preserve">)</t>
    </r>
  </si>
  <si>
    <t xml:space="preserve">2026-01-14</t>
  </si>
  <si>
    <r>
      <rPr>
        <sz val="10"/>
        <rFont val="Arial"/>
        <family val="0"/>
        <charset val="1"/>
      </rPr>
      <t xml:space="preserve">260622_PP(</t>
    </r>
    <r>
      <rPr>
        <sz val="10"/>
        <rFont val="Noto Sans CJK SC"/>
        <family val="2"/>
      </rPr>
      <t xml:space="preserve">머니코믹스</t>
    </r>
    <r>
      <rPr>
        <sz val="10"/>
        <rFont val="Arial"/>
        <family val="0"/>
        <charset val="1"/>
      </rPr>
      <t xml:space="preserve">1,2,3,4)</t>
    </r>
  </si>
  <si>
    <r>
      <rPr>
        <sz val="10"/>
        <rFont val="Arial"/>
        <family val="0"/>
        <charset val="1"/>
      </rPr>
      <t xml:space="preserve">260622_PP_(</t>
    </r>
    <r>
      <rPr>
        <sz val="10"/>
        <rFont val="Noto Sans CJK SC"/>
        <family val="2"/>
      </rPr>
      <t xml:space="preserve">릴쏸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빈짱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노션다움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지피다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</si>
  <si>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260622_PP_</t>
    </r>
    <r>
      <rPr>
        <sz val="10"/>
        <rFont val="Noto Sans CJK SC"/>
        <family val="2"/>
      </rPr>
      <t xml:space="preserve">마이너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말하기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제이든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세비아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</si>
  <si>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251229_NP_</t>
    </r>
    <r>
      <rPr>
        <sz val="10"/>
        <rFont val="Noto Sans CJK SC"/>
        <family val="2"/>
      </rPr>
      <t xml:space="preserve">마이너</t>
    </r>
  </si>
  <si>
    <t xml:space="preserve">2026-01-16</t>
  </si>
  <si>
    <r>
      <rPr>
        <sz val="10"/>
        <rFont val="Arial"/>
        <family val="0"/>
        <charset val="1"/>
      </rPr>
      <t xml:space="preserve">260512_PP_(</t>
    </r>
    <r>
      <rPr>
        <sz val="10"/>
        <rFont val="Noto Sans CJK SC"/>
        <family val="2"/>
      </rPr>
      <t xml:space="preserve">욤이집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3)</t>
    </r>
  </si>
  <si>
    <t xml:space="preserve">2026-05-12</t>
  </si>
  <si>
    <r>
      <rPr>
        <sz val="10"/>
        <rFont val="Arial"/>
        <family val="0"/>
        <charset val="1"/>
      </rPr>
      <t xml:space="preserve">260323_PP_(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깔쌈픽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</si>
  <si>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260421_PP_(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)</t>
    </r>
  </si>
  <si>
    <t xml:space="preserve">2026-04-21</t>
  </si>
  <si>
    <r>
      <rPr>
        <sz val="10"/>
        <rFont val="Arial"/>
        <family val="0"/>
        <charset val="1"/>
      </rPr>
      <t xml:space="preserve">260303_PP_(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유니시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깔쌈픽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토비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</si>
  <si>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260219_PP_</t>
    </r>
    <r>
      <rPr>
        <sz val="10"/>
        <rFont val="Noto Sans CJK SC"/>
        <family val="2"/>
      </rPr>
      <t xml:space="preserve">마이너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인디샵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백화점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</si>
  <si>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260219_PP_</t>
    </r>
    <r>
      <rPr>
        <sz val="10"/>
        <rFont val="Noto Sans CJK SC"/>
        <family val="2"/>
      </rPr>
      <t xml:space="preserve">이미지</t>
    </r>
  </si>
  <si>
    <r>
      <rPr>
        <sz val="10"/>
        <rFont val="Arial"/>
        <family val="0"/>
        <charset val="1"/>
      </rPr>
      <t xml:space="preserve">260622_PP_(</t>
    </r>
    <r>
      <rPr>
        <sz val="10"/>
        <rFont val="Noto Sans CJK SC"/>
        <family val="2"/>
      </rPr>
      <t xml:space="preserve">풋풋레터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3)</t>
    </r>
  </si>
  <si>
    <r>
      <rPr>
        <sz val="10"/>
        <rFont val="Arial"/>
        <family val="0"/>
        <charset val="1"/>
      </rPr>
      <t xml:space="preserve">260622_PP_(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살림꼼꼼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</si>
  <si>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260615_PL_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팁톡팁톡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워킹뚜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채리니몬드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탭마이기어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채찍맨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엘리사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이기동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꼼지락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올리뷰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,LEO)</t>
    </r>
  </si>
  <si>
    <t xml:space="preserve">2026-06-26</t>
  </si>
  <si>
    <r>
      <rPr>
        <sz val="10"/>
        <rFont val="Arial"/>
        <family val="0"/>
        <charset val="1"/>
      </rPr>
      <t xml:space="preserve">260615_NP_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_(</t>
    </r>
    <r>
      <rPr>
        <sz val="10"/>
        <rFont val="Noto Sans CJK SC"/>
        <family val="2"/>
      </rPr>
      <t xml:space="preserve">직장인혠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연시디자인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만능혁키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책마실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</si>
  <si>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260601_PP(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써봤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리나아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</si>
  <si>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260601_PP_(</t>
    </r>
    <r>
      <rPr>
        <sz val="10"/>
        <rFont val="Noto Sans CJK SC"/>
        <family val="2"/>
      </rPr>
      <t xml:space="preserve">행복나무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원픽연구소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</si>
  <si>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260518_PP_(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한솔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뎁프로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</si>
  <si>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260518_PP_(</t>
    </r>
    <r>
      <rPr>
        <sz val="10"/>
        <rFont val="Noto Sans CJK SC"/>
        <family val="2"/>
      </rPr>
      <t xml:space="preserve">빈짱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지피다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써봤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3,</t>
    </r>
    <r>
      <rPr>
        <sz val="10"/>
        <rFont val="Noto Sans CJK SC"/>
        <family val="2"/>
      </rPr>
      <t xml:space="preserve">유집이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</si>
  <si>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260427_PP_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뎁프로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 회의록작성</t>
    </r>
    <r>
      <rPr>
        <sz val="10"/>
        <rFont val="Arial"/>
        <family val="0"/>
        <charset val="1"/>
      </rPr>
      <t xml:space="preserve">)</t>
    </r>
  </si>
  <si>
    <t xml:space="preserve">2026-05-08</t>
  </si>
  <si>
    <r>
      <rPr>
        <sz val="10"/>
        <rFont val="Arial"/>
        <family val="0"/>
        <charset val="1"/>
      </rPr>
      <t xml:space="preserve">260413_PP_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말하기공식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똑솔이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</si>
  <si>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260413_PP_(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꿀템메이트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</si>
  <si>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260330_NP_</t>
    </r>
    <r>
      <rPr>
        <sz val="10"/>
        <rFont val="Noto Sans CJK SC"/>
        <family val="2"/>
      </rPr>
      <t xml:space="preserve">구매정품 유사타겟</t>
    </r>
  </si>
  <si>
    <t xml:space="preserve">2026-04-10</t>
  </si>
  <si>
    <r>
      <rPr>
        <sz val="10"/>
        <rFont val="Arial"/>
        <family val="0"/>
        <charset val="1"/>
      </rPr>
      <t xml:space="preserve">251105_PL_</t>
    </r>
    <r>
      <rPr>
        <sz val="10"/>
        <rFont val="Noto Sans CJK SC"/>
        <family val="2"/>
      </rPr>
      <t xml:space="preserve">마이너캠페인</t>
    </r>
  </si>
  <si>
    <r>
      <rPr>
        <sz val="10"/>
        <rFont val="Arial"/>
        <family val="0"/>
        <charset val="1"/>
      </rPr>
      <t xml:space="preserve">250901_NP_</t>
    </r>
    <r>
      <rPr>
        <sz val="10"/>
        <rFont val="Noto Sans CJK SC"/>
        <family val="2"/>
      </rPr>
      <t xml:space="preserve">여성타겟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브랜디드컨텐츠</t>
    </r>
  </si>
  <si>
    <r>
      <rPr>
        <sz val="10"/>
        <rFont val="Arial"/>
        <family val="0"/>
        <charset val="1"/>
      </rPr>
      <t xml:space="preserve">251215_NP_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</si>
  <si>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260526_PP_(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리나아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원픽연구소</t>
    </r>
    <r>
      <rPr>
        <sz val="10"/>
        <rFont val="Arial"/>
        <family val="0"/>
        <charset val="1"/>
      </rPr>
      <t xml:space="preserve">)</t>
    </r>
  </si>
  <si>
    <t xml:space="preserve">2026-06-05</t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</si>
  <si>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지피다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리사권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행복나무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오추천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꿀템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</si>
  <si>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빈짱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푸들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살림꼼꼼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</si>
  <si>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260601_PP(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3,</t>
    </r>
    <r>
      <rPr>
        <sz val="10"/>
        <rFont val="Noto Sans CJK SC"/>
        <family val="2"/>
      </rPr>
      <t xml:space="preserve">리사권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3)</t>
    </r>
  </si>
  <si>
    <r>
      <rPr>
        <sz val="10"/>
        <rFont val="Arial"/>
        <family val="0"/>
        <charset val="1"/>
      </rPr>
      <t xml:space="preserve">260413_PP_</t>
    </r>
    <r>
      <rPr>
        <sz val="10"/>
        <rFont val="Noto Sans CJK SC"/>
        <family val="2"/>
      </rPr>
      <t xml:space="preserve">제작영상</t>
    </r>
  </si>
  <si>
    <t xml:space="preserve">2026-04-22</t>
  </si>
  <si>
    <r>
      <rPr>
        <sz val="10"/>
        <rFont val="Arial"/>
        <family val="0"/>
        <charset val="1"/>
      </rPr>
      <t xml:space="preserve">260406_PP_(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)</t>
    </r>
  </si>
  <si>
    <t xml:space="preserve">2026-04-15</t>
  </si>
  <si>
    <r>
      <rPr>
        <sz val="10"/>
        <rFont val="Arial"/>
        <family val="0"/>
        <charset val="1"/>
      </rPr>
      <t xml:space="preserve">260311_PP(</t>
    </r>
    <r>
      <rPr>
        <sz val="10"/>
        <rFont val="Noto Sans CJK SC"/>
        <family val="2"/>
      </rPr>
      <t xml:space="preserve">토비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공대생락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)</t>
    </r>
  </si>
  <si>
    <t xml:space="preserve">2026-03-11</t>
  </si>
  <si>
    <t xml:space="preserve">2026-03-20</t>
  </si>
  <si>
    <r>
      <rPr>
        <sz val="10"/>
        <rFont val="Arial"/>
        <family val="0"/>
        <charset val="1"/>
      </rPr>
      <t xml:space="preserve">260105_NP_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</si>
  <si>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260629_PP_(</t>
    </r>
    <r>
      <rPr>
        <sz val="10"/>
        <rFont val="Noto Sans CJK SC"/>
        <family val="2"/>
      </rPr>
      <t xml:space="preserve">건빵닷컴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한솔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지피다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노마드벨라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</si>
  <si>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260629_PP_(</t>
    </r>
    <r>
      <rPr>
        <sz val="10"/>
        <rFont val="Noto Sans CJK SC"/>
        <family val="2"/>
      </rPr>
      <t xml:space="preserve">신혁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세비아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</si>
  <si>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260629_PL_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팁톡팁톡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워킹뚜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채리니몬드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탭마이기어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채찍맨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엘리사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이기동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꼼지락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올리뷰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,LEO) - </t>
    </r>
    <r>
      <rPr>
        <sz val="10"/>
        <rFont val="Noto Sans CJK SC"/>
        <family val="2"/>
      </rPr>
      <t xml:space="preserve">사본</t>
    </r>
  </si>
  <si>
    <r>
      <rPr>
        <sz val="10"/>
        <rFont val="Arial"/>
        <family val="0"/>
        <charset val="1"/>
      </rPr>
      <t xml:space="preserve">260629_NP_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</si>
  <si>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260629_PP_(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에스크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3)</t>
    </r>
  </si>
  <si>
    <r>
      <rPr>
        <sz val="10"/>
        <rFont val="Arial"/>
        <family val="0"/>
        <charset val="1"/>
      </rPr>
      <t xml:space="preserve">260518_PP_(</t>
    </r>
    <r>
      <rPr>
        <sz val="10"/>
        <rFont val="Noto Sans CJK SC"/>
        <family val="2"/>
      </rPr>
      <t xml:space="preserve">택하다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똑솔이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의대생지나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리빙다움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</si>
  <si>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260223_NP_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</si>
  <si>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251215_PP_</t>
    </r>
    <r>
      <rPr>
        <sz val="10"/>
        <rFont val="Noto Sans CJK SC"/>
        <family val="2"/>
      </rPr>
      <t xml:space="preserve">마이너</t>
    </r>
  </si>
  <si>
    <t xml:space="preserve">2026-01-09</t>
  </si>
  <si>
    <r>
      <rPr>
        <sz val="10"/>
        <rFont val="Arial"/>
        <family val="0"/>
        <charset val="1"/>
      </rPr>
      <t xml:space="preserve">251222_NP_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</si>
  <si>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260622_PP_</t>
    </r>
    <r>
      <rPr>
        <sz val="10"/>
        <rFont val="Noto Sans CJK SC"/>
        <family val="2"/>
      </rPr>
      <t xml:space="preserve">노마드벨라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리나아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욤이집</t>
    </r>
  </si>
  <si>
    <r>
      <rPr>
        <sz val="10"/>
        <rFont val="Arial"/>
        <family val="0"/>
        <charset val="1"/>
      </rPr>
      <t xml:space="preserve">260427_PP_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또리뷰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 템플릿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택하다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영어공부편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</si>
  <si>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260413_NP_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_(</t>
    </r>
    <r>
      <rPr>
        <sz val="10"/>
        <rFont val="Noto Sans CJK SC"/>
        <family val="2"/>
      </rPr>
      <t xml:space="preserve">만능혁키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책마실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툴앤툴즈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올인원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</si>
  <si>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260526_PP(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리사권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공대생락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</si>
  <si>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260427_PP_</t>
    </r>
    <r>
      <rPr>
        <sz val="10"/>
        <rFont val="Noto Sans CJK SC"/>
        <family val="2"/>
      </rPr>
      <t xml:space="preserve">마이너캠페인</t>
    </r>
  </si>
  <si>
    <t xml:space="preserve">2026-05-03</t>
  </si>
  <si>
    <r>
      <rPr>
        <sz val="10"/>
        <rFont val="Arial"/>
        <family val="0"/>
        <charset val="1"/>
      </rPr>
      <t xml:space="preserve">260629_PP_(</t>
    </r>
    <r>
      <rPr>
        <sz val="10"/>
        <rFont val="Noto Sans CJK SC"/>
        <family val="2"/>
      </rPr>
      <t xml:space="preserve">정민파파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제이든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유집이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3)</t>
    </r>
  </si>
  <si>
    <r>
      <rPr>
        <sz val="10"/>
        <rFont val="Arial"/>
        <family val="0"/>
        <charset val="1"/>
      </rPr>
      <t xml:space="preserve">260622_PP_(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에스크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2)</t>
    </r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</si>
  <si>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만기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1,2,3,</t>
    </r>
    <r>
      <rPr>
        <sz val="10"/>
        <rFont val="Noto Sans CJK SC"/>
        <family val="2"/>
      </rPr>
      <t xml:space="preserve">인디샵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</si>
  <si>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써봤</t>
    </r>
    <r>
      <rPr>
        <sz val="10"/>
        <rFont val="Arial"/>
        <family val="0"/>
        <charset val="1"/>
      </rPr>
      <t xml:space="preserve">2)</t>
    </r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</si>
  <si>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욤이집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살림알림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서니쉐어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</si>
  <si>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꿀템메이트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</si>
  <si>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릴쏸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갓생맘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풋풋레터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제이든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제시카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</si>
  <si>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말하기공식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2)</t>
    </r>
  </si>
  <si>
    <r>
      <rPr>
        <sz val="10"/>
        <rFont val="Arial"/>
        <family val="0"/>
        <charset val="1"/>
      </rPr>
      <t xml:space="preserve">260608_PP_(</t>
    </r>
    <r>
      <rPr>
        <sz val="10"/>
        <rFont val="Noto Sans CJK SC"/>
        <family val="2"/>
      </rPr>
      <t xml:space="preserve">깔쌈픽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한솔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리사권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에스크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</si>
  <si>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260601_PP(</t>
    </r>
    <r>
      <rPr>
        <sz val="10"/>
        <rFont val="Noto Sans CJK SC"/>
        <family val="2"/>
      </rPr>
      <t xml:space="preserve">욤이집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윤자동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빈짱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한솔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</si>
  <si>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260518_PP(</t>
    </r>
    <r>
      <rPr>
        <sz val="10"/>
        <rFont val="Noto Sans CJK SC"/>
        <family val="2"/>
      </rPr>
      <t xml:space="preserve">살림꼼꼼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또리뷰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</si>
  <si>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260504_PP_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잇츠잍 템플릿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나디로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밍구필름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</si>
  <si>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260504_PP_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에스크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</si>
  <si>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260420_PP_(</t>
    </r>
    <r>
      <rPr>
        <sz val="10"/>
        <rFont val="Noto Sans CJK SC"/>
        <family val="2"/>
      </rPr>
      <t xml:space="preserve">소비일상 영어공부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제작영상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</si>
  <si>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260420_PP_(</t>
    </r>
    <r>
      <rPr>
        <sz val="10"/>
        <rFont val="Noto Sans CJK SC"/>
        <family val="2"/>
      </rPr>
      <t xml:space="preserve">소비일상 회의록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책마실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</si>
  <si>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260413_PP_</t>
    </r>
    <r>
      <rPr>
        <sz val="10"/>
        <rFont val="Noto Sans CJK SC"/>
        <family val="2"/>
      </rPr>
      <t xml:space="preserve">이미지광고</t>
    </r>
  </si>
  <si>
    <r>
      <rPr>
        <sz val="10"/>
        <rFont val="Arial"/>
        <family val="0"/>
        <charset val="1"/>
      </rPr>
      <t xml:space="preserve">260413_NP_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로끼띠룩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클로이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태영작가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성공의숲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</si>
  <si>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260413_NP_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문화컬처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직장인혠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연시디자인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</si>
  <si>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260330_PP_(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영어공부편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이호퍼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꿀템메이트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</si>
  <si>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리나아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살림꼼꼼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갓생맘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풋풋레터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제시카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순기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</si>
  <si>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260615_PP_(</t>
    </r>
    <r>
      <rPr>
        <sz val="10"/>
        <rFont val="Noto Sans CJK SC"/>
        <family val="2"/>
      </rPr>
      <t xml:space="preserve">유집이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1,2,3,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에스크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</si>
  <si>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260114_NP_</t>
    </r>
    <r>
      <rPr>
        <sz val="10"/>
        <rFont val="Noto Sans CJK SC"/>
        <family val="2"/>
      </rPr>
      <t xml:space="preserve">마이너</t>
    </r>
  </si>
  <si>
    <r>
      <rPr>
        <sz val="10"/>
        <rFont val="Arial"/>
        <family val="0"/>
        <charset val="1"/>
      </rPr>
      <t xml:space="preserve">260706_PP_(</t>
    </r>
    <r>
      <rPr>
        <sz val="10"/>
        <rFont val="Noto Sans CJK SC"/>
        <family val="2"/>
      </rPr>
      <t xml:space="preserve">신혁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오늘셋업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유집이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정민파파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살림꼼꼼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빈짱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릴트리거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</si>
  <si>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260706_PP_(</t>
    </r>
    <r>
      <rPr>
        <sz val="10"/>
        <rFont val="Noto Sans CJK SC"/>
        <family val="2"/>
      </rPr>
      <t xml:space="preserve">안녕하세혁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자취리뷰</t>
    </r>
    <r>
      <rPr>
        <sz val="10"/>
        <rFont val="Arial"/>
        <family val="0"/>
        <charset val="1"/>
      </rPr>
      <t xml:space="preserve">2,3,</t>
    </r>
    <r>
      <rPr>
        <sz val="10"/>
        <rFont val="Noto Sans CJK SC"/>
        <family val="2"/>
      </rPr>
      <t xml:space="preserve">한솔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소비일상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에스크</t>
    </r>
    <r>
      <rPr>
        <sz val="10"/>
        <rFont val="Arial"/>
        <family val="0"/>
        <charset val="1"/>
      </rPr>
      <t xml:space="preserve">),</t>
    </r>
    <r>
      <rPr>
        <sz val="10"/>
        <rFont val="Noto Sans CJK SC"/>
        <family val="2"/>
      </rPr>
      <t xml:space="preserve">노마드벨라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</si>
  <si>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260706_PP_(</t>
    </r>
    <r>
      <rPr>
        <sz val="10"/>
        <rFont val="Noto Sans CJK SC"/>
        <family val="2"/>
      </rPr>
      <t xml:space="preserve">리아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풋풋레터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베러디자이너클럽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잇츠잍</t>
    </r>
    <r>
      <rPr>
        <sz val="10"/>
        <rFont val="Arial"/>
        <family val="0"/>
        <charset val="1"/>
      </rPr>
      <t xml:space="preserve">3,</t>
    </r>
    <r>
      <rPr>
        <sz val="10"/>
        <rFont val="Noto Sans CJK SC"/>
        <family val="2"/>
      </rPr>
      <t xml:space="preserve">도비마스터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젬마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</si>
  <si>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평균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중앙 생존일수</t>
    </r>
  </si>
  <si>
    <t xml:space="preserve">평균→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</si>
</sst>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10"/>
      <name val="Noto Sans CJK SC"/>
      <family val="2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2</v>
      </c>
      <c r="C2" s="3" t="n">
        <v>2</v>
      </c>
      <c r="D2" s="3" t="n">
        <v>14</v>
      </c>
      <c r="E2" s="3" t="n">
        <f aca="false">B2-C2</f>
        <v>0</v>
      </c>
    </row>
    <row r="3" customFormat="false" ht="15" hidden="false" customHeight="false" outlineLevel="0" collapsed="false">
      <c r="A3" s="2" t="s">
        <v>6</v>
      </c>
      <c r="B3" s="3" t="n">
        <v>4</v>
      </c>
      <c r="C3" s="3" t="n">
        <v>6</v>
      </c>
      <c r="D3" s="3" t="n">
        <v>16</v>
      </c>
      <c r="E3" s="3" t="n">
        <f aca="false">B3-C3</f>
        <v>-2</v>
      </c>
    </row>
    <row r="4" customFormat="false" ht="15" hidden="false" customHeight="false" outlineLevel="0" collapsed="false">
      <c r="A4" s="2" t="s">
        <v>7</v>
      </c>
      <c r="B4" s="3" t="n">
        <v>2</v>
      </c>
      <c r="C4" s="3" t="n">
        <v>1</v>
      </c>
      <c r="D4" s="3" t="n">
        <v>12</v>
      </c>
      <c r="E4" s="3" t="n">
        <f aca="false">B4-C4</f>
        <v>1</v>
      </c>
    </row>
    <row r="5" customFormat="false" ht="15" hidden="false" customHeight="false" outlineLevel="0" collapsed="false">
      <c r="A5" s="2" t="s">
        <v>8</v>
      </c>
      <c r="B5" s="3" t="n">
        <v>0</v>
      </c>
      <c r="C5" s="3" t="n">
        <v>2</v>
      </c>
      <c r="D5" s="3" t="n">
        <v>11</v>
      </c>
      <c r="E5" s="3" t="n">
        <f aca="false">B5-C5</f>
        <v>-2</v>
      </c>
    </row>
    <row r="6" customFormat="false" ht="15" hidden="false" customHeight="false" outlineLevel="0" collapsed="false">
      <c r="A6" s="2" t="s">
        <v>9</v>
      </c>
      <c r="B6" s="3" t="n">
        <v>2</v>
      </c>
      <c r="C6" s="3" t="n">
        <v>1</v>
      </c>
      <c r="D6" s="3" t="n">
        <v>11</v>
      </c>
      <c r="E6" s="3" t="n">
        <f aca="false">B6-C6</f>
        <v>1</v>
      </c>
    </row>
    <row r="7" customFormat="false" ht="15" hidden="false" customHeight="false" outlineLevel="0" collapsed="false">
      <c r="A7" s="2" t="s">
        <v>10</v>
      </c>
      <c r="B7" s="3" t="n">
        <v>0</v>
      </c>
      <c r="C7" s="3" t="n">
        <v>2</v>
      </c>
      <c r="D7" s="3" t="n">
        <v>10</v>
      </c>
      <c r="E7" s="3" t="n">
        <f aca="false">B7-C7</f>
        <v>-2</v>
      </c>
    </row>
    <row r="8" customFormat="false" ht="15" hidden="false" customHeight="false" outlineLevel="0" collapsed="false">
      <c r="A8" s="2" t="s">
        <v>11</v>
      </c>
      <c r="B8" s="3" t="n">
        <v>3</v>
      </c>
      <c r="C8" s="3" t="n">
        <v>1</v>
      </c>
      <c r="D8" s="3" t="n">
        <v>11</v>
      </c>
      <c r="E8" s="3" t="n">
        <f aca="false">B8-C8</f>
        <v>2</v>
      </c>
    </row>
    <row r="9" customFormat="false" ht="15" hidden="false" customHeight="false" outlineLevel="0" collapsed="false">
      <c r="A9" s="2" t="s">
        <v>12</v>
      </c>
      <c r="B9" s="3" t="n">
        <v>2</v>
      </c>
      <c r="C9" s="3" t="n">
        <v>1</v>
      </c>
      <c r="D9" s="3" t="n">
        <v>12</v>
      </c>
      <c r="E9" s="3" t="n">
        <f aca="false">B9-C9</f>
        <v>1</v>
      </c>
    </row>
    <row r="10" customFormat="false" ht="15" hidden="false" customHeight="false" outlineLevel="0" collapsed="false">
      <c r="A10" s="2" t="s">
        <v>13</v>
      </c>
      <c r="B10" s="3" t="n">
        <v>3</v>
      </c>
      <c r="C10" s="3" t="n">
        <v>3</v>
      </c>
      <c r="D10" s="3" t="n">
        <v>14</v>
      </c>
      <c r="E10" s="3" t="n">
        <f aca="false">B10-C10</f>
        <v>0</v>
      </c>
    </row>
    <row r="11" customFormat="false" ht="15" hidden="false" customHeight="false" outlineLevel="0" collapsed="false">
      <c r="A11" s="2" t="s">
        <v>14</v>
      </c>
      <c r="B11" s="3" t="n">
        <v>4</v>
      </c>
      <c r="C11" s="3" t="n">
        <v>0</v>
      </c>
      <c r="D11" s="3" t="n">
        <v>15</v>
      </c>
      <c r="E11" s="3" t="n">
        <f aca="false">B11-C11</f>
        <v>4</v>
      </c>
    </row>
    <row r="12" customFormat="false" ht="15" hidden="false" customHeight="false" outlineLevel="0" collapsed="false">
      <c r="A12" s="2" t="s">
        <v>15</v>
      </c>
      <c r="B12" s="3" t="n">
        <v>3</v>
      </c>
      <c r="C12" s="3" t="n">
        <v>2</v>
      </c>
      <c r="D12" s="3" t="n">
        <v>18</v>
      </c>
      <c r="E12" s="3" t="n">
        <f aca="false">B12-C12</f>
        <v>1</v>
      </c>
    </row>
    <row r="13" customFormat="false" ht="15" hidden="false" customHeight="false" outlineLevel="0" collapsed="false">
      <c r="A13" s="2" t="s">
        <v>16</v>
      </c>
      <c r="B13" s="3" t="n">
        <v>3</v>
      </c>
      <c r="C13" s="3" t="n">
        <v>0</v>
      </c>
      <c r="D13" s="3" t="n">
        <v>19</v>
      </c>
      <c r="E13" s="3" t="n">
        <f aca="false">B13-C13</f>
        <v>3</v>
      </c>
    </row>
    <row r="14" customFormat="false" ht="15" hidden="false" customHeight="false" outlineLevel="0" collapsed="false">
      <c r="A14" s="2" t="s">
        <v>17</v>
      </c>
      <c r="B14" s="3" t="n">
        <v>3</v>
      </c>
      <c r="C14" s="3" t="n">
        <v>6</v>
      </c>
      <c r="D14" s="3" t="n">
        <v>22</v>
      </c>
      <c r="E14" s="3" t="n">
        <f aca="false">B14-C14</f>
        <v>-3</v>
      </c>
    </row>
    <row r="15" customFormat="false" ht="15" hidden="false" customHeight="false" outlineLevel="0" collapsed="false">
      <c r="A15" s="2" t="s">
        <v>18</v>
      </c>
      <c r="B15" s="3" t="n">
        <v>3</v>
      </c>
      <c r="C15" s="3" t="n">
        <v>3</v>
      </c>
      <c r="D15" s="3" t="n">
        <v>19</v>
      </c>
      <c r="E15" s="3" t="n">
        <f aca="false">B15-C15</f>
        <v>0</v>
      </c>
    </row>
    <row r="16" customFormat="false" ht="15" hidden="false" customHeight="false" outlineLevel="0" collapsed="false">
      <c r="A16" s="2" t="s">
        <v>19</v>
      </c>
      <c r="B16" s="3" t="n">
        <v>7</v>
      </c>
      <c r="C16" s="3" t="n">
        <v>6</v>
      </c>
      <c r="D16" s="3" t="n">
        <v>23</v>
      </c>
      <c r="E16" s="3" t="n">
        <f aca="false">B16-C16</f>
        <v>1</v>
      </c>
    </row>
    <row r="17" customFormat="false" ht="15" hidden="false" customHeight="false" outlineLevel="0" collapsed="false">
      <c r="A17" s="2" t="s">
        <v>20</v>
      </c>
      <c r="B17" s="3" t="n">
        <v>7</v>
      </c>
      <c r="C17" s="3" t="n">
        <v>8</v>
      </c>
      <c r="D17" s="3" t="n">
        <v>24</v>
      </c>
      <c r="E17" s="3" t="n">
        <f aca="false">B17-C17</f>
        <v>-1</v>
      </c>
    </row>
    <row r="18" customFormat="false" ht="15" hidden="false" customHeight="false" outlineLevel="0" collapsed="false">
      <c r="A18" s="2" t="s">
        <v>21</v>
      </c>
      <c r="B18" s="3" t="n">
        <v>6</v>
      </c>
      <c r="C18" s="3" t="n">
        <v>3</v>
      </c>
      <c r="D18" s="3" t="n">
        <v>22</v>
      </c>
      <c r="E18" s="3" t="n">
        <f aca="false">B18-C18</f>
        <v>3</v>
      </c>
    </row>
    <row r="19" customFormat="false" ht="15" hidden="false" customHeight="false" outlineLevel="0" collapsed="false">
      <c r="A19" s="2" t="s">
        <v>22</v>
      </c>
      <c r="B19" s="3" t="n">
        <v>4</v>
      </c>
      <c r="C19" s="3" t="n">
        <v>7</v>
      </c>
      <c r="D19" s="3" t="n">
        <v>23</v>
      </c>
      <c r="E19" s="3" t="n">
        <f aca="false">B19-C19</f>
        <v>-3</v>
      </c>
    </row>
    <row r="20" customFormat="false" ht="15" hidden="false" customHeight="false" outlineLevel="0" collapsed="false">
      <c r="A20" s="2" t="s">
        <v>23</v>
      </c>
      <c r="B20" s="3" t="n">
        <v>5</v>
      </c>
      <c r="C20" s="3" t="n">
        <v>4</v>
      </c>
      <c r="D20" s="3" t="n">
        <v>21</v>
      </c>
      <c r="E20" s="3" t="n">
        <f aca="false">B20-C20</f>
        <v>1</v>
      </c>
    </row>
    <row r="21" customFormat="false" ht="15" hidden="false" customHeight="false" outlineLevel="0" collapsed="false">
      <c r="A21" s="2" t="s">
        <v>24</v>
      </c>
      <c r="B21" s="3" t="n">
        <v>6</v>
      </c>
      <c r="C21" s="3" t="n">
        <v>2</v>
      </c>
      <c r="D21" s="3" t="n">
        <v>23</v>
      </c>
      <c r="E21" s="3" t="n">
        <f aca="false">B21-C21</f>
        <v>4</v>
      </c>
    </row>
    <row r="22" customFormat="false" ht="15" hidden="false" customHeight="false" outlineLevel="0" collapsed="false">
      <c r="A22" s="2" t="s">
        <v>25</v>
      </c>
      <c r="B22" s="3" t="n">
        <v>5</v>
      </c>
      <c r="C22" s="3" t="n">
        <v>5</v>
      </c>
      <c r="D22" s="3" t="n">
        <v>26</v>
      </c>
      <c r="E22" s="3" t="n">
        <f aca="false">B22-C22</f>
        <v>0</v>
      </c>
    </row>
    <row r="23" customFormat="false" ht="15" hidden="false" customHeight="false" outlineLevel="0" collapsed="false">
      <c r="A23" s="2" t="s">
        <v>26</v>
      </c>
      <c r="B23" s="3" t="n">
        <v>6</v>
      </c>
      <c r="C23" s="3" t="n">
        <v>4</v>
      </c>
      <c r="D23" s="3" t="n">
        <v>27</v>
      </c>
      <c r="E23" s="3" t="n">
        <f aca="false">B23-C23</f>
        <v>2</v>
      </c>
    </row>
    <row r="24" customFormat="false" ht="15" hidden="false" customHeight="false" outlineLevel="0" collapsed="false">
      <c r="A24" s="2" t="s">
        <v>27</v>
      </c>
      <c r="B24" s="3" t="n">
        <v>7</v>
      </c>
      <c r="C24" s="3" t="n">
        <v>12</v>
      </c>
      <c r="D24" s="3" t="n">
        <v>30</v>
      </c>
      <c r="E24" s="3" t="n">
        <f aca="false">B24-C24</f>
        <v>-5</v>
      </c>
    </row>
    <row r="25" customFormat="false" ht="15" hidden="false" customHeight="false" outlineLevel="0" collapsed="false">
      <c r="A25" s="2" t="s">
        <v>28</v>
      </c>
      <c r="B25" s="3" t="n">
        <v>10</v>
      </c>
      <c r="C25" s="3" t="n">
        <v>8</v>
      </c>
      <c r="D25" s="3" t="n">
        <v>28</v>
      </c>
      <c r="E25" s="3" t="n">
        <f aca="false">B25-C25</f>
        <v>2</v>
      </c>
    </row>
    <row r="26" customFormat="false" ht="15" hidden="false" customHeight="false" outlineLevel="0" collapsed="false">
      <c r="A26" s="2" t="s">
        <v>29</v>
      </c>
      <c r="B26" s="3" t="n">
        <v>7</v>
      </c>
      <c r="C26" s="3" t="n">
        <v>5</v>
      </c>
      <c r="D26" s="3" t="n">
        <v>27</v>
      </c>
      <c r="E26" s="3" t="n">
        <f aca="false">B26-C26</f>
        <v>2</v>
      </c>
    </row>
    <row r="27" customFormat="false" ht="15" hidden="false" customHeight="false" outlineLevel="0" collapsed="false">
      <c r="A27" s="2" t="s">
        <v>30</v>
      </c>
      <c r="B27" s="3" t="n">
        <v>6</v>
      </c>
      <c r="C27" s="3" t="n">
        <v>5</v>
      </c>
      <c r="D27" s="3" t="n">
        <v>28</v>
      </c>
      <c r="E27" s="3" t="n">
        <f aca="false">B27-C27</f>
        <v>1</v>
      </c>
    </row>
    <row r="28" customFormat="false" ht="15" hidden="false" customHeight="false" outlineLevel="0" collapsed="false">
      <c r="A28" s="2" t="s">
        <v>31</v>
      </c>
      <c r="B28" s="3" t="n">
        <v>3</v>
      </c>
      <c r="C28" s="3" t="n">
        <v>0</v>
      </c>
      <c r="D28" s="3" t="n">
        <v>26</v>
      </c>
      <c r="E28" s="3" t="n">
        <f aca="false">B28-C28</f>
        <v>3</v>
      </c>
    </row>
    <row r="29" customFormat="false" ht="15" hidden="false" customHeight="false" outlineLevel="0" collapsed="false">
      <c r="A29" s="4" t="s">
        <v>32</v>
      </c>
      <c r="B29" s="5" t="n">
        <f aca="false">SUM(B2:B28)</f>
        <v>113</v>
      </c>
      <c r="C29" s="5" t="n">
        <f aca="false">SUM(C2:C28)</f>
        <v>99</v>
      </c>
    </row>
    <row r="31" customFormat="false" ht="15" hidden="false" customHeight="false" outlineLevel="0" collapsed="false">
      <c r="A31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4"/>
  </cols>
  <sheetData>
    <row r="1" customFormat="false" ht="17.15" hidden="false" customHeight="false" outlineLevel="0" collapsed="false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7" t="s">
        <v>41</v>
      </c>
    </row>
    <row r="2" customFormat="false" ht="15" hidden="false" customHeight="false" outlineLevel="0" collapsed="false">
      <c r="A2" s="8" t="s">
        <v>42</v>
      </c>
      <c r="B2" s="9" t="s">
        <v>43</v>
      </c>
      <c r="C2" s="9" t="s">
        <v>44</v>
      </c>
      <c r="D2" s="9" t="n">
        <v>188</v>
      </c>
      <c r="E2" s="10" t="s">
        <v>45</v>
      </c>
      <c r="F2" s="11" t="n">
        <v>77509532</v>
      </c>
      <c r="G2" s="9" t="n">
        <v>855</v>
      </c>
      <c r="H2" s="11" t="n">
        <f aca="false">IF(G2&gt;0,ROUND(F2/G2,0),"")</f>
        <v>90654</v>
      </c>
    </row>
    <row r="3" customFormat="false" ht="15" hidden="false" customHeight="false" outlineLevel="0" collapsed="false">
      <c r="A3" s="8" t="s">
        <v>46</v>
      </c>
      <c r="B3" s="9" t="s">
        <v>43</v>
      </c>
      <c r="C3" s="9" t="s">
        <v>44</v>
      </c>
      <c r="D3" s="9" t="n">
        <v>188</v>
      </c>
      <c r="E3" s="10" t="s">
        <v>45</v>
      </c>
      <c r="F3" s="11" t="n">
        <v>78983377</v>
      </c>
      <c r="G3" s="9" t="n">
        <v>833</v>
      </c>
      <c r="H3" s="11" t="n">
        <f aca="false">IF(G3&gt;0,ROUND(F3/G3,0),"")</f>
        <v>94818</v>
      </c>
    </row>
    <row r="4" customFormat="false" ht="15" hidden="false" customHeight="false" outlineLevel="0" collapsed="false">
      <c r="A4" s="8" t="s">
        <v>47</v>
      </c>
      <c r="B4" s="9" t="s">
        <v>43</v>
      </c>
      <c r="C4" s="9" t="s">
        <v>44</v>
      </c>
      <c r="D4" s="9" t="n">
        <v>188</v>
      </c>
      <c r="E4" s="10" t="s">
        <v>45</v>
      </c>
      <c r="F4" s="11" t="n">
        <v>76388993</v>
      </c>
      <c r="G4" s="9" t="n">
        <v>681</v>
      </c>
      <c r="H4" s="11" t="n">
        <f aca="false">IF(G4&gt;0,ROUND(F4/G4,0),"")</f>
        <v>112172</v>
      </c>
    </row>
    <row r="5" customFormat="false" ht="15" hidden="false" customHeight="false" outlineLevel="0" collapsed="false">
      <c r="A5" s="8" t="s">
        <v>48</v>
      </c>
      <c r="B5" s="9" t="s">
        <v>9</v>
      </c>
      <c r="C5" s="9" t="s">
        <v>44</v>
      </c>
      <c r="D5" s="9" t="n">
        <v>156</v>
      </c>
      <c r="E5" s="10" t="s">
        <v>45</v>
      </c>
      <c r="F5" s="11" t="n">
        <v>58241779</v>
      </c>
      <c r="G5" s="9" t="n">
        <v>517</v>
      </c>
      <c r="H5" s="11" t="n">
        <f aca="false">IF(G5&gt;0,ROUND(F5/G5,0),"")</f>
        <v>112653</v>
      </c>
    </row>
    <row r="6" customFormat="false" ht="15" hidden="false" customHeight="false" outlineLevel="0" collapsed="false">
      <c r="A6" s="8" t="s">
        <v>49</v>
      </c>
      <c r="B6" s="9" t="s">
        <v>15</v>
      </c>
      <c r="C6" s="9" t="s">
        <v>44</v>
      </c>
      <c r="D6" s="9" t="n">
        <v>114</v>
      </c>
      <c r="E6" s="10" t="s">
        <v>45</v>
      </c>
      <c r="F6" s="11" t="n">
        <v>16832080</v>
      </c>
      <c r="G6" s="9" t="n">
        <v>146</v>
      </c>
      <c r="H6" s="11" t="n">
        <f aca="false">IF(G6&gt;0,ROUND(F6/G6,0),"")</f>
        <v>115288</v>
      </c>
    </row>
    <row r="7" customFormat="false" ht="15" hidden="false" customHeight="false" outlineLevel="0" collapsed="false">
      <c r="A7" s="2" t="s">
        <v>50</v>
      </c>
      <c r="B7" s="3" t="s">
        <v>43</v>
      </c>
      <c r="C7" s="3" t="s">
        <v>51</v>
      </c>
      <c r="D7" s="3" t="n">
        <v>93</v>
      </c>
      <c r="E7" s="12" t="s">
        <v>2</v>
      </c>
      <c r="F7" s="13" t="n">
        <v>5586660</v>
      </c>
      <c r="G7" s="3" t="n">
        <v>109</v>
      </c>
      <c r="H7" s="13" t="n">
        <f aca="false">IF(G7&gt;0,ROUND(F7/G7,0),"")</f>
        <v>51254</v>
      </c>
    </row>
    <row r="8" customFormat="false" ht="15" hidden="false" customHeight="false" outlineLevel="0" collapsed="false">
      <c r="A8" s="2" t="s">
        <v>52</v>
      </c>
      <c r="B8" s="3" t="s">
        <v>53</v>
      </c>
      <c r="C8" s="3" t="s">
        <v>54</v>
      </c>
      <c r="D8" s="3" t="n">
        <v>79</v>
      </c>
      <c r="E8" s="12" t="s">
        <v>2</v>
      </c>
      <c r="F8" s="13" t="n">
        <v>11620109</v>
      </c>
      <c r="G8" s="3" t="n">
        <v>112</v>
      </c>
      <c r="H8" s="13" t="n">
        <f aca="false">IF(G8&gt;0,ROUND(F8/G8,0),"")</f>
        <v>103751</v>
      </c>
    </row>
    <row r="9" customFormat="false" ht="15" hidden="false" customHeight="false" outlineLevel="0" collapsed="false">
      <c r="A9" s="2" t="s">
        <v>55</v>
      </c>
      <c r="B9" s="3" t="s">
        <v>6</v>
      </c>
      <c r="C9" s="3" t="s">
        <v>17</v>
      </c>
      <c r="D9" s="3" t="n">
        <v>78</v>
      </c>
      <c r="E9" s="12" t="s">
        <v>2</v>
      </c>
      <c r="F9" s="13" t="n">
        <v>35528680</v>
      </c>
      <c r="G9" s="3" t="n">
        <v>332</v>
      </c>
      <c r="H9" s="13" t="n">
        <f aca="false">IF(G9&gt;0,ROUND(F9/G9,0),"")</f>
        <v>107014</v>
      </c>
    </row>
    <row r="10" customFormat="false" ht="15" hidden="false" customHeight="false" outlineLevel="0" collapsed="false">
      <c r="A10" s="8" t="s">
        <v>56</v>
      </c>
      <c r="B10" s="9" t="s">
        <v>22</v>
      </c>
      <c r="C10" s="9" t="s">
        <v>44</v>
      </c>
      <c r="D10" s="9" t="n">
        <v>65</v>
      </c>
      <c r="E10" s="10" t="s">
        <v>45</v>
      </c>
      <c r="F10" s="11" t="n">
        <v>19535895</v>
      </c>
      <c r="G10" s="9" t="n">
        <v>197</v>
      </c>
      <c r="H10" s="11" t="n">
        <f aca="false">IF(G10&gt;0,ROUND(F10/G10,0),"")</f>
        <v>99167</v>
      </c>
    </row>
    <row r="11" customFormat="false" ht="15" hidden="false" customHeight="false" outlineLevel="0" collapsed="false">
      <c r="A11" s="2" t="s">
        <v>57</v>
      </c>
      <c r="B11" s="3" t="s">
        <v>20</v>
      </c>
      <c r="C11" s="3" t="s">
        <v>58</v>
      </c>
      <c r="D11" s="3" t="n">
        <v>61</v>
      </c>
      <c r="E11" s="12" t="s">
        <v>2</v>
      </c>
      <c r="F11" s="13" t="n">
        <v>16428015</v>
      </c>
      <c r="G11" s="3" t="n">
        <v>117</v>
      </c>
      <c r="H11" s="13" t="n">
        <f aca="false">IF(G11&gt;0,ROUND(F11/G11,0),"")</f>
        <v>140410</v>
      </c>
    </row>
    <row r="12" customFormat="false" ht="15" hidden="false" customHeight="false" outlineLevel="0" collapsed="false">
      <c r="A12" s="2" t="s">
        <v>59</v>
      </c>
      <c r="B12" s="3" t="s">
        <v>15</v>
      </c>
      <c r="C12" s="3" t="s">
        <v>60</v>
      </c>
      <c r="D12" s="3" t="n">
        <v>59</v>
      </c>
      <c r="E12" s="12" t="s">
        <v>2</v>
      </c>
      <c r="F12" s="13" t="n">
        <v>14486369</v>
      </c>
      <c r="G12" s="3" t="n">
        <v>112</v>
      </c>
      <c r="H12" s="13" t="n">
        <f aca="false">IF(G12&gt;0,ROUND(F12/G12,0),"")</f>
        <v>129343</v>
      </c>
    </row>
    <row r="13" customFormat="false" ht="15" hidden="false" customHeight="false" outlineLevel="0" collapsed="false">
      <c r="A13" s="8" t="s">
        <v>61</v>
      </c>
      <c r="B13" s="9" t="s">
        <v>23</v>
      </c>
      <c r="C13" s="9" t="s">
        <v>44</v>
      </c>
      <c r="D13" s="9" t="n">
        <v>58</v>
      </c>
      <c r="E13" s="10" t="s">
        <v>45</v>
      </c>
      <c r="F13" s="11" t="n">
        <v>14206141</v>
      </c>
      <c r="G13" s="9" t="n">
        <v>99</v>
      </c>
      <c r="H13" s="11" t="n">
        <f aca="false">IF(G13&gt;0,ROUND(F13/G13,0),"")</f>
        <v>143496</v>
      </c>
    </row>
    <row r="14" customFormat="false" ht="15" hidden="false" customHeight="false" outlineLevel="0" collapsed="false">
      <c r="A14" s="8" t="s">
        <v>62</v>
      </c>
      <c r="B14" s="9" t="s">
        <v>23</v>
      </c>
      <c r="C14" s="9" t="s">
        <v>44</v>
      </c>
      <c r="D14" s="9" t="n">
        <v>58</v>
      </c>
      <c r="E14" s="10" t="s">
        <v>45</v>
      </c>
      <c r="F14" s="11" t="n">
        <v>14856514</v>
      </c>
      <c r="G14" s="9" t="n">
        <v>138</v>
      </c>
      <c r="H14" s="11" t="n">
        <f aca="false">IF(G14&gt;0,ROUND(F14/G14,0),"")</f>
        <v>107656</v>
      </c>
    </row>
    <row r="15" customFormat="false" ht="15" hidden="false" customHeight="false" outlineLevel="0" collapsed="false">
      <c r="A15" s="2" t="s">
        <v>63</v>
      </c>
      <c r="B15" s="3" t="s">
        <v>17</v>
      </c>
      <c r="C15" s="3" t="s">
        <v>64</v>
      </c>
      <c r="D15" s="3" t="n">
        <v>54</v>
      </c>
      <c r="E15" s="12" t="s">
        <v>2</v>
      </c>
      <c r="F15" s="13" t="n">
        <v>15521298</v>
      </c>
      <c r="G15" s="3" t="n">
        <v>112</v>
      </c>
      <c r="H15" s="13" t="n">
        <f aca="false">IF(G15&gt;0,ROUND(F15/G15,0),"")</f>
        <v>138583</v>
      </c>
    </row>
    <row r="16" customFormat="false" ht="15" hidden="false" customHeight="false" outlineLevel="0" collapsed="false">
      <c r="A16" s="2" t="s">
        <v>65</v>
      </c>
      <c r="B16" s="3" t="s">
        <v>14</v>
      </c>
      <c r="C16" s="3" t="s">
        <v>66</v>
      </c>
      <c r="D16" s="3" t="n">
        <v>52</v>
      </c>
      <c r="E16" s="12" t="s">
        <v>2</v>
      </c>
      <c r="F16" s="13" t="n">
        <v>13854102</v>
      </c>
      <c r="G16" s="3" t="n">
        <v>95</v>
      </c>
      <c r="H16" s="13" t="n">
        <f aca="false">IF(G16&gt;0,ROUND(F16/G16,0),"")</f>
        <v>145833</v>
      </c>
    </row>
    <row r="17" customFormat="false" ht="15" hidden="false" customHeight="false" outlineLevel="0" collapsed="false">
      <c r="A17" s="8" t="s">
        <v>67</v>
      </c>
      <c r="B17" s="9" t="s">
        <v>24</v>
      </c>
      <c r="C17" s="9" t="s">
        <v>44</v>
      </c>
      <c r="D17" s="9" t="n">
        <v>51</v>
      </c>
      <c r="E17" s="10" t="s">
        <v>45</v>
      </c>
      <c r="F17" s="11" t="n">
        <v>12406643</v>
      </c>
      <c r="G17" s="9" t="n">
        <v>108</v>
      </c>
      <c r="H17" s="11" t="n">
        <f aca="false">IF(G17&gt;0,ROUND(F17/G17,0),"")</f>
        <v>114876</v>
      </c>
    </row>
    <row r="18" customFormat="false" ht="15" hidden="false" customHeight="false" outlineLevel="0" collapsed="false">
      <c r="A18" s="2" t="s">
        <v>68</v>
      </c>
      <c r="B18" s="3" t="s">
        <v>21</v>
      </c>
      <c r="C18" s="3" t="s">
        <v>69</v>
      </c>
      <c r="D18" s="3" t="n">
        <v>47</v>
      </c>
      <c r="E18" s="12" t="s">
        <v>2</v>
      </c>
      <c r="F18" s="13" t="n">
        <v>11465344</v>
      </c>
      <c r="G18" s="3" t="n">
        <v>83</v>
      </c>
      <c r="H18" s="13" t="n">
        <f aca="false">IF(G18&gt;0,ROUND(F18/G18,0),"")</f>
        <v>138137</v>
      </c>
    </row>
    <row r="19" customFormat="false" ht="15" hidden="false" customHeight="false" outlineLevel="0" collapsed="false">
      <c r="A19" s="2" t="s">
        <v>70</v>
      </c>
      <c r="B19" s="3" t="s">
        <v>14</v>
      </c>
      <c r="C19" s="3" t="s">
        <v>71</v>
      </c>
      <c r="D19" s="3" t="n">
        <v>47</v>
      </c>
      <c r="E19" s="12" t="s">
        <v>2</v>
      </c>
      <c r="F19" s="13" t="n">
        <v>12926093</v>
      </c>
      <c r="G19" s="3" t="n">
        <v>104</v>
      </c>
      <c r="H19" s="13" t="n">
        <f aca="false">IF(G19&gt;0,ROUND(F19/G19,0),"")</f>
        <v>124289</v>
      </c>
    </row>
    <row r="20" customFormat="false" ht="15" hidden="false" customHeight="false" outlineLevel="0" collapsed="false">
      <c r="A20" s="2" t="s">
        <v>72</v>
      </c>
      <c r="B20" s="3" t="s">
        <v>12</v>
      </c>
      <c r="C20" s="3" t="s">
        <v>73</v>
      </c>
      <c r="D20" s="3" t="n">
        <v>45</v>
      </c>
      <c r="E20" s="12" t="s">
        <v>2</v>
      </c>
      <c r="F20" s="13" t="n">
        <v>13153805</v>
      </c>
      <c r="G20" s="3" t="n">
        <v>113</v>
      </c>
      <c r="H20" s="13" t="n">
        <f aca="false">IF(G20&gt;0,ROUND(F20/G20,0),"")</f>
        <v>116405</v>
      </c>
    </row>
    <row r="21" customFormat="false" ht="15" hidden="false" customHeight="false" outlineLevel="0" collapsed="false">
      <c r="A21" s="2" t="s">
        <v>74</v>
      </c>
      <c r="B21" s="3" t="s">
        <v>43</v>
      </c>
      <c r="C21" s="3" t="s">
        <v>75</v>
      </c>
      <c r="D21" s="3" t="n">
        <v>44</v>
      </c>
      <c r="E21" s="12" t="s">
        <v>2</v>
      </c>
      <c r="F21" s="13" t="n">
        <v>4922768</v>
      </c>
      <c r="G21" s="3" t="n">
        <v>104</v>
      </c>
      <c r="H21" s="13" t="n">
        <f aca="false">IF(G21&gt;0,ROUND(F21/G21,0),"")</f>
        <v>47334</v>
      </c>
    </row>
    <row r="22" customFormat="false" ht="15" hidden="false" customHeight="false" outlineLevel="0" collapsed="false">
      <c r="A22" s="8" t="s">
        <v>76</v>
      </c>
      <c r="B22" s="9" t="s">
        <v>77</v>
      </c>
      <c r="C22" s="9" t="s">
        <v>44</v>
      </c>
      <c r="D22" s="9" t="n">
        <v>43</v>
      </c>
      <c r="E22" s="10" t="s">
        <v>45</v>
      </c>
      <c r="F22" s="11" t="n">
        <v>10802566</v>
      </c>
      <c r="G22" s="9" t="n">
        <v>93</v>
      </c>
      <c r="H22" s="11" t="n">
        <f aca="false">IF(G22&gt;0,ROUND(F22/G22,0),"")</f>
        <v>116157</v>
      </c>
    </row>
    <row r="23" customFormat="false" ht="15" hidden="false" customHeight="false" outlineLevel="0" collapsed="false">
      <c r="A23" s="8" t="s">
        <v>78</v>
      </c>
      <c r="B23" s="9" t="s">
        <v>77</v>
      </c>
      <c r="C23" s="9" t="s">
        <v>44</v>
      </c>
      <c r="D23" s="9" t="n">
        <v>43</v>
      </c>
      <c r="E23" s="10" t="s">
        <v>45</v>
      </c>
      <c r="F23" s="11" t="n">
        <v>10383497</v>
      </c>
      <c r="G23" s="9" t="n">
        <v>89</v>
      </c>
      <c r="H23" s="11" t="n">
        <f aca="false">IF(G23&gt;0,ROUND(F23/G23,0),"")</f>
        <v>116669</v>
      </c>
    </row>
    <row r="24" customFormat="false" ht="15" hidden="false" customHeight="false" outlineLevel="0" collapsed="false">
      <c r="A24" s="8" t="s">
        <v>79</v>
      </c>
      <c r="B24" s="9" t="s">
        <v>77</v>
      </c>
      <c r="C24" s="9" t="s">
        <v>44</v>
      </c>
      <c r="D24" s="9" t="n">
        <v>43</v>
      </c>
      <c r="E24" s="10" t="s">
        <v>45</v>
      </c>
      <c r="F24" s="11" t="n">
        <v>10443910</v>
      </c>
      <c r="G24" s="9" t="n">
        <v>78</v>
      </c>
      <c r="H24" s="11" t="n">
        <f aca="false">IF(G24&gt;0,ROUND(F24/G24,0),"")</f>
        <v>133896</v>
      </c>
    </row>
    <row r="25" customFormat="false" ht="15" hidden="false" customHeight="false" outlineLevel="0" collapsed="false">
      <c r="A25" s="2" t="s">
        <v>80</v>
      </c>
      <c r="B25" s="3" t="s">
        <v>81</v>
      </c>
      <c r="C25" s="3" t="s">
        <v>19</v>
      </c>
      <c r="D25" s="3" t="n">
        <v>42</v>
      </c>
      <c r="E25" s="12" t="s">
        <v>2</v>
      </c>
      <c r="F25" s="13" t="n">
        <v>10501906</v>
      </c>
      <c r="G25" s="3" t="n">
        <v>78</v>
      </c>
      <c r="H25" s="13" t="n">
        <f aca="false">IF(G25&gt;0,ROUND(F25/G25,0),"")</f>
        <v>134640</v>
      </c>
    </row>
    <row r="26" customFormat="false" ht="15" hidden="false" customHeight="false" outlineLevel="0" collapsed="false">
      <c r="A26" s="2" t="s">
        <v>82</v>
      </c>
      <c r="B26" s="3" t="s">
        <v>83</v>
      </c>
      <c r="C26" s="3" t="s">
        <v>84</v>
      </c>
      <c r="D26" s="3" t="n">
        <v>42</v>
      </c>
      <c r="E26" s="12" t="s">
        <v>2</v>
      </c>
      <c r="F26" s="13" t="n">
        <v>12695014</v>
      </c>
      <c r="G26" s="3" t="n">
        <v>108</v>
      </c>
      <c r="H26" s="13" t="n">
        <f aca="false">IF(G26&gt;0,ROUND(F26/G26,0),"")</f>
        <v>117546</v>
      </c>
    </row>
    <row r="27" customFormat="false" ht="15" hidden="false" customHeight="false" outlineLevel="0" collapsed="false">
      <c r="A27" s="2" t="s">
        <v>85</v>
      </c>
      <c r="B27" s="3" t="s">
        <v>18</v>
      </c>
      <c r="C27" s="3" t="s">
        <v>86</v>
      </c>
      <c r="D27" s="3" t="n">
        <v>40</v>
      </c>
      <c r="E27" s="12" t="s">
        <v>2</v>
      </c>
      <c r="F27" s="13" t="n">
        <v>9777081</v>
      </c>
      <c r="G27" s="3" t="n">
        <v>70</v>
      </c>
      <c r="H27" s="13" t="n">
        <f aca="false">IF(G27&gt;0,ROUND(F27/G27,0),"")</f>
        <v>139673</v>
      </c>
    </row>
    <row r="28" customFormat="false" ht="15" hidden="false" customHeight="false" outlineLevel="0" collapsed="false">
      <c r="A28" s="8" t="s">
        <v>87</v>
      </c>
      <c r="B28" s="9" t="s">
        <v>26</v>
      </c>
      <c r="C28" s="9" t="s">
        <v>44</v>
      </c>
      <c r="D28" s="9" t="n">
        <v>37</v>
      </c>
      <c r="E28" s="10" t="s">
        <v>45</v>
      </c>
      <c r="F28" s="11" t="n">
        <v>9285827</v>
      </c>
      <c r="G28" s="9" t="n">
        <v>85</v>
      </c>
      <c r="H28" s="11" t="n">
        <f aca="false">IF(G28&gt;0,ROUND(F28/G28,0),"")</f>
        <v>109245</v>
      </c>
    </row>
    <row r="29" customFormat="false" ht="15" hidden="false" customHeight="false" outlineLevel="0" collapsed="false">
      <c r="A29" s="2" t="s">
        <v>88</v>
      </c>
      <c r="B29" s="3" t="s">
        <v>22</v>
      </c>
      <c r="C29" s="3" t="s">
        <v>27</v>
      </c>
      <c r="D29" s="3" t="n">
        <v>36</v>
      </c>
      <c r="E29" s="12" t="s">
        <v>2</v>
      </c>
      <c r="F29" s="13" t="n">
        <v>8682483</v>
      </c>
      <c r="G29" s="3" t="n">
        <v>49</v>
      </c>
      <c r="H29" s="13" t="n">
        <f aca="false">IF(G29&gt;0,ROUND(F29/G29,0),"")</f>
        <v>177194</v>
      </c>
    </row>
    <row r="30" customFormat="false" ht="15" hidden="false" customHeight="false" outlineLevel="0" collapsed="false">
      <c r="A30" s="2" t="s">
        <v>89</v>
      </c>
      <c r="B30" s="3" t="s">
        <v>15</v>
      </c>
      <c r="C30" s="3" t="s">
        <v>20</v>
      </c>
      <c r="D30" s="3" t="n">
        <v>36</v>
      </c>
      <c r="E30" s="12" t="s">
        <v>2</v>
      </c>
      <c r="F30" s="13" t="n">
        <v>8701194</v>
      </c>
      <c r="G30" s="3" t="n">
        <v>72</v>
      </c>
      <c r="H30" s="13" t="n">
        <f aca="false">IF(G30&gt;0,ROUND(F30/G30,0),"")</f>
        <v>120850</v>
      </c>
    </row>
    <row r="31" customFormat="false" ht="15" hidden="false" customHeight="false" outlineLevel="0" collapsed="false">
      <c r="A31" s="2" t="s">
        <v>90</v>
      </c>
      <c r="B31" s="3" t="s">
        <v>7</v>
      </c>
      <c r="C31" s="3" t="s">
        <v>12</v>
      </c>
      <c r="D31" s="3" t="n">
        <v>36</v>
      </c>
      <c r="E31" s="12" t="s">
        <v>2</v>
      </c>
      <c r="F31" s="13" t="n">
        <v>9822401</v>
      </c>
      <c r="G31" s="3" t="n">
        <v>127</v>
      </c>
      <c r="H31" s="13" t="n">
        <f aca="false">IF(G31&gt;0,ROUND(F31/G31,0),"")</f>
        <v>77342</v>
      </c>
    </row>
    <row r="32" customFormat="false" ht="15" hidden="false" customHeight="false" outlineLevel="0" collapsed="false">
      <c r="A32" s="2" t="s">
        <v>91</v>
      </c>
      <c r="B32" s="3" t="s">
        <v>23</v>
      </c>
      <c r="C32" s="3" t="s">
        <v>69</v>
      </c>
      <c r="D32" s="3" t="n">
        <v>33</v>
      </c>
      <c r="E32" s="12" t="s">
        <v>2</v>
      </c>
      <c r="F32" s="13" t="n">
        <v>7552077</v>
      </c>
      <c r="G32" s="3" t="n">
        <v>48</v>
      </c>
      <c r="H32" s="13" t="n">
        <f aca="false">IF(G32&gt;0,ROUND(F32/G32,0),"")</f>
        <v>157335</v>
      </c>
    </row>
    <row r="33" customFormat="false" ht="15" hidden="false" customHeight="false" outlineLevel="0" collapsed="false">
      <c r="A33" s="2" t="s">
        <v>92</v>
      </c>
      <c r="B33" s="3" t="s">
        <v>21</v>
      </c>
      <c r="C33" s="3" t="s">
        <v>93</v>
      </c>
      <c r="D33" s="3" t="n">
        <v>33</v>
      </c>
      <c r="E33" s="12" t="s">
        <v>2</v>
      </c>
      <c r="F33" s="13" t="n">
        <v>8011670</v>
      </c>
      <c r="G33" s="3" t="n">
        <v>41</v>
      </c>
      <c r="H33" s="13" t="n">
        <f aca="false">IF(G33&gt;0,ROUND(F33/G33,0),"")</f>
        <v>195407</v>
      </c>
    </row>
    <row r="34" customFormat="false" ht="15" hidden="false" customHeight="false" outlineLevel="0" collapsed="false">
      <c r="A34" s="8" t="s">
        <v>94</v>
      </c>
      <c r="B34" s="9" t="s">
        <v>27</v>
      </c>
      <c r="C34" s="9" t="s">
        <v>44</v>
      </c>
      <c r="D34" s="9" t="n">
        <v>30</v>
      </c>
      <c r="E34" s="10" t="s">
        <v>45</v>
      </c>
      <c r="F34" s="11" t="n">
        <v>7903573</v>
      </c>
      <c r="G34" s="9" t="n">
        <v>77</v>
      </c>
      <c r="H34" s="11" t="n">
        <f aca="false">IF(G34&gt;0,ROUND(F34/G34,0),"")</f>
        <v>102644</v>
      </c>
    </row>
    <row r="35" customFormat="false" ht="15" hidden="false" customHeight="false" outlineLevel="0" collapsed="false">
      <c r="A35" s="2" t="s">
        <v>95</v>
      </c>
      <c r="B35" s="3" t="s">
        <v>81</v>
      </c>
      <c r="C35" s="3" t="s">
        <v>84</v>
      </c>
      <c r="D35" s="3" t="n">
        <v>30</v>
      </c>
      <c r="E35" s="12" t="s">
        <v>2</v>
      </c>
      <c r="F35" s="13" t="n">
        <v>7204440</v>
      </c>
      <c r="G35" s="3" t="n">
        <v>60</v>
      </c>
      <c r="H35" s="13" t="n">
        <f aca="false">IF(G35&gt;0,ROUND(F35/G35,0),"")</f>
        <v>120074</v>
      </c>
    </row>
    <row r="36" customFormat="false" ht="15" hidden="false" customHeight="false" outlineLevel="0" collapsed="false">
      <c r="A36" s="2" t="s">
        <v>96</v>
      </c>
      <c r="B36" s="3" t="s">
        <v>43</v>
      </c>
      <c r="C36" s="3" t="s">
        <v>97</v>
      </c>
      <c r="D36" s="3" t="n">
        <v>30</v>
      </c>
      <c r="E36" s="12" t="s">
        <v>2</v>
      </c>
      <c r="F36" s="13" t="n">
        <v>8752398</v>
      </c>
      <c r="G36" s="3" t="n">
        <v>132</v>
      </c>
      <c r="H36" s="13" t="n">
        <f aca="false">IF(G36&gt;0,ROUND(F36/G36,0),"")</f>
        <v>66306</v>
      </c>
    </row>
    <row r="37" customFormat="false" ht="15" hidden="false" customHeight="false" outlineLevel="0" collapsed="false">
      <c r="A37" s="2" t="s">
        <v>98</v>
      </c>
      <c r="B37" s="3" t="s">
        <v>16</v>
      </c>
      <c r="C37" s="3" t="s">
        <v>99</v>
      </c>
      <c r="D37" s="3" t="n">
        <v>26</v>
      </c>
      <c r="E37" s="12" t="s">
        <v>2</v>
      </c>
      <c r="F37" s="13" t="n">
        <v>6742757</v>
      </c>
      <c r="G37" s="3" t="n">
        <v>54</v>
      </c>
      <c r="H37" s="13" t="n">
        <f aca="false">IF(G37&gt;0,ROUND(F37/G37,0),"")</f>
        <v>124866</v>
      </c>
    </row>
    <row r="38" customFormat="false" ht="15" hidden="false" customHeight="false" outlineLevel="0" collapsed="false">
      <c r="A38" s="2" t="s">
        <v>100</v>
      </c>
      <c r="B38" s="3" t="s">
        <v>14</v>
      </c>
      <c r="C38" s="3" t="s">
        <v>51</v>
      </c>
      <c r="D38" s="3" t="n">
        <v>26</v>
      </c>
      <c r="E38" s="12" t="s">
        <v>2</v>
      </c>
      <c r="F38" s="13" t="n">
        <v>6321359</v>
      </c>
      <c r="G38" s="3" t="n">
        <v>58</v>
      </c>
      <c r="H38" s="13" t="n">
        <f aca="false">IF(G38&gt;0,ROUND(F38/G38,0),"")</f>
        <v>108989</v>
      </c>
    </row>
    <row r="39" customFormat="false" ht="15" hidden="false" customHeight="false" outlineLevel="0" collapsed="false">
      <c r="A39" s="2" t="s">
        <v>101</v>
      </c>
      <c r="B39" s="3" t="s">
        <v>6</v>
      </c>
      <c r="C39" s="3" t="s">
        <v>102</v>
      </c>
      <c r="D39" s="3" t="n">
        <v>26</v>
      </c>
      <c r="E39" s="12" t="s">
        <v>2</v>
      </c>
      <c r="F39" s="13" t="n">
        <v>5740409</v>
      </c>
      <c r="G39" s="3" t="n">
        <v>85</v>
      </c>
      <c r="H39" s="13" t="n">
        <f aca="false">IF(G39&gt;0,ROUND(F39/G39,0),"")</f>
        <v>67534</v>
      </c>
    </row>
    <row r="40" customFormat="false" ht="15" hidden="false" customHeight="false" outlineLevel="0" collapsed="false">
      <c r="A40" s="2" t="s">
        <v>103</v>
      </c>
      <c r="B40" s="3" t="s">
        <v>23</v>
      </c>
      <c r="C40" s="3" t="s">
        <v>104</v>
      </c>
      <c r="D40" s="3" t="n">
        <v>25</v>
      </c>
      <c r="E40" s="12" t="s">
        <v>2</v>
      </c>
      <c r="F40" s="13" t="n">
        <v>5898501</v>
      </c>
      <c r="G40" s="3" t="n">
        <v>32</v>
      </c>
      <c r="H40" s="13" t="n">
        <f aca="false">IF(G40&gt;0,ROUND(F40/G40,0),"")</f>
        <v>184328</v>
      </c>
    </row>
    <row r="41" customFormat="false" ht="15" hidden="false" customHeight="false" outlineLevel="0" collapsed="false">
      <c r="A41" s="2" t="s">
        <v>105</v>
      </c>
      <c r="B41" s="3" t="s">
        <v>7</v>
      </c>
      <c r="C41" s="3" t="s">
        <v>106</v>
      </c>
      <c r="D41" s="3" t="n">
        <v>24</v>
      </c>
      <c r="E41" s="12" t="s">
        <v>2</v>
      </c>
      <c r="F41" s="13" t="n">
        <v>5214452</v>
      </c>
      <c r="G41" s="3" t="n">
        <v>81</v>
      </c>
      <c r="H41" s="13" t="n">
        <f aca="false">IF(G41&gt;0,ROUND(F41/G41,0),"")</f>
        <v>64376</v>
      </c>
    </row>
    <row r="42" customFormat="false" ht="15" hidden="false" customHeight="false" outlineLevel="0" collapsed="false">
      <c r="A42" s="8" t="s">
        <v>107</v>
      </c>
      <c r="B42" s="9" t="s">
        <v>28</v>
      </c>
      <c r="C42" s="9" t="s">
        <v>44</v>
      </c>
      <c r="D42" s="9" t="n">
        <v>23</v>
      </c>
      <c r="E42" s="10" t="s">
        <v>45</v>
      </c>
      <c r="F42" s="11" t="n">
        <v>5437722</v>
      </c>
      <c r="G42" s="9" t="n">
        <v>35</v>
      </c>
      <c r="H42" s="11" t="n">
        <f aca="false">IF(G42&gt;0,ROUND(F42/G42,0),"")</f>
        <v>155363</v>
      </c>
    </row>
    <row r="43" customFormat="false" ht="15" hidden="false" customHeight="false" outlineLevel="0" collapsed="false">
      <c r="A43" s="2" t="s">
        <v>108</v>
      </c>
      <c r="B43" s="3" t="s">
        <v>24</v>
      </c>
      <c r="C43" s="3" t="s">
        <v>27</v>
      </c>
      <c r="D43" s="3" t="n">
        <v>22</v>
      </c>
      <c r="E43" s="12" t="s">
        <v>2</v>
      </c>
      <c r="F43" s="13" t="n">
        <v>5205322</v>
      </c>
      <c r="G43" s="3" t="n">
        <v>27</v>
      </c>
      <c r="H43" s="13" t="n">
        <f aca="false">IF(G43&gt;0,ROUND(F43/G43,0),"")</f>
        <v>192790</v>
      </c>
    </row>
    <row r="44" customFormat="false" ht="15" hidden="false" customHeight="false" outlineLevel="0" collapsed="false">
      <c r="A44" s="2" t="s">
        <v>109</v>
      </c>
      <c r="B44" s="3" t="s">
        <v>20</v>
      </c>
      <c r="C44" s="3" t="s">
        <v>23</v>
      </c>
      <c r="D44" s="3" t="n">
        <v>22</v>
      </c>
      <c r="E44" s="12" t="s">
        <v>2</v>
      </c>
      <c r="F44" s="13" t="n">
        <v>5191153</v>
      </c>
      <c r="G44" s="3" t="n">
        <v>28</v>
      </c>
      <c r="H44" s="13" t="n">
        <f aca="false">IF(G44&gt;0,ROUND(F44/G44,0),"")</f>
        <v>185398</v>
      </c>
    </row>
    <row r="45" customFormat="false" ht="15" hidden="false" customHeight="false" outlineLevel="0" collapsed="false">
      <c r="A45" s="2" t="s">
        <v>110</v>
      </c>
      <c r="B45" s="3" t="s">
        <v>18</v>
      </c>
      <c r="C45" s="3" t="s">
        <v>21</v>
      </c>
      <c r="D45" s="3" t="n">
        <v>22</v>
      </c>
      <c r="E45" s="12" t="s">
        <v>2</v>
      </c>
      <c r="F45" s="13" t="n">
        <v>5212642</v>
      </c>
      <c r="G45" s="3" t="n">
        <v>32</v>
      </c>
      <c r="H45" s="13" t="n">
        <f aca="false">IF(G45&gt;0,ROUND(F45/G45,0),"")</f>
        <v>162895</v>
      </c>
    </row>
    <row r="46" customFormat="false" ht="15" hidden="false" customHeight="false" outlineLevel="0" collapsed="false">
      <c r="A46" s="2" t="s">
        <v>111</v>
      </c>
      <c r="B46" s="3" t="s">
        <v>28</v>
      </c>
      <c r="C46" s="3" t="s">
        <v>112</v>
      </c>
      <c r="D46" s="3" t="n">
        <v>19</v>
      </c>
      <c r="E46" s="12" t="s">
        <v>2</v>
      </c>
      <c r="F46" s="13" t="n">
        <v>4528974</v>
      </c>
      <c r="G46" s="3" t="n">
        <v>26</v>
      </c>
      <c r="H46" s="13" t="n">
        <f aca="false">IF(G46&gt;0,ROUND(F46/G46,0),"")</f>
        <v>174191</v>
      </c>
    </row>
    <row r="47" customFormat="false" ht="15" hidden="false" customHeight="false" outlineLevel="0" collapsed="false">
      <c r="A47" s="2" t="s">
        <v>113</v>
      </c>
      <c r="B47" s="3" t="s">
        <v>5</v>
      </c>
      <c r="C47" s="3" t="s">
        <v>114</v>
      </c>
      <c r="D47" s="3" t="n">
        <v>19</v>
      </c>
      <c r="E47" s="12" t="s">
        <v>2</v>
      </c>
      <c r="F47" s="13" t="n">
        <v>3596959</v>
      </c>
      <c r="G47" s="3" t="n">
        <v>43</v>
      </c>
      <c r="H47" s="13" t="n">
        <f aca="false">IF(G47&gt;0,ROUND(F47/G47,0),"")</f>
        <v>83650</v>
      </c>
    </row>
    <row r="48" customFormat="false" ht="15" hidden="false" customHeight="false" outlineLevel="0" collapsed="false">
      <c r="A48" s="2" t="s">
        <v>115</v>
      </c>
      <c r="B48" s="3" t="s">
        <v>9</v>
      </c>
      <c r="C48" s="3" t="s">
        <v>83</v>
      </c>
      <c r="D48" s="3" t="n">
        <v>18</v>
      </c>
      <c r="E48" s="12" t="s">
        <v>2</v>
      </c>
      <c r="F48" s="13" t="n">
        <v>3724541</v>
      </c>
      <c r="G48" s="3" t="n">
        <v>43</v>
      </c>
      <c r="H48" s="13" t="n">
        <f aca="false">IF(G48&gt;0,ROUND(F48/G48,0),"")</f>
        <v>86617</v>
      </c>
    </row>
    <row r="49" customFormat="false" ht="15" hidden="false" customHeight="false" outlineLevel="0" collapsed="false">
      <c r="A49" s="2" t="s">
        <v>116</v>
      </c>
      <c r="B49" s="3" t="s">
        <v>27</v>
      </c>
      <c r="C49" s="3" t="s">
        <v>117</v>
      </c>
      <c r="D49" s="3" t="n">
        <v>17</v>
      </c>
      <c r="E49" s="12" t="s">
        <v>2</v>
      </c>
      <c r="F49" s="13" t="n">
        <v>3900078</v>
      </c>
      <c r="G49" s="3" t="n">
        <v>17</v>
      </c>
      <c r="H49" s="13" t="n">
        <f aca="false">IF(G49&gt;0,ROUND(F49/G49,0),"")</f>
        <v>229416</v>
      </c>
    </row>
    <row r="50" customFormat="false" ht="15" hidden="false" customHeight="false" outlineLevel="0" collapsed="false">
      <c r="A50" s="2" t="s">
        <v>118</v>
      </c>
      <c r="B50" s="3" t="s">
        <v>26</v>
      </c>
      <c r="C50" s="3" t="s">
        <v>119</v>
      </c>
      <c r="D50" s="3" t="n">
        <v>17</v>
      </c>
      <c r="E50" s="12" t="s">
        <v>2</v>
      </c>
      <c r="F50" s="13" t="n">
        <v>3934370</v>
      </c>
      <c r="G50" s="3" t="n">
        <v>20</v>
      </c>
      <c r="H50" s="13" t="n">
        <f aca="false">IF(G50&gt;0,ROUND(F50/G50,0),"")</f>
        <v>196719</v>
      </c>
    </row>
    <row r="51" customFormat="false" ht="15" hidden="false" customHeight="false" outlineLevel="0" collapsed="false">
      <c r="A51" s="2" t="s">
        <v>120</v>
      </c>
      <c r="B51" s="3" t="s">
        <v>21</v>
      </c>
      <c r="C51" s="3" t="s">
        <v>60</v>
      </c>
      <c r="D51" s="3" t="n">
        <v>17</v>
      </c>
      <c r="E51" s="12" t="s">
        <v>2</v>
      </c>
      <c r="F51" s="13" t="n">
        <v>3825719</v>
      </c>
      <c r="G51" s="3" t="n">
        <v>23</v>
      </c>
      <c r="H51" s="13" t="n">
        <f aca="false">IF(G51&gt;0,ROUND(F51/G51,0),"")</f>
        <v>166336</v>
      </c>
    </row>
    <row r="52" customFormat="false" ht="15" hidden="false" customHeight="false" outlineLevel="0" collapsed="false">
      <c r="A52" s="2" t="s">
        <v>121</v>
      </c>
      <c r="B52" s="3" t="s">
        <v>20</v>
      </c>
      <c r="C52" s="3" t="s">
        <v>122</v>
      </c>
      <c r="D52" s="3" t="n">
        <v>17</v>
      </c>
      <c r="E52" s="12" t="s">
        <v>2</v>
      </c>
      <c r="F52" s="13" t="n">
        <v>3989412</v>
      </c>
      <c r="G52" s="3" t="n">
        <v>25</v>
      </c>
      <c r="H52" s="13" t="n">
        <f aca="false">IF(G52&gt;0,ROUND(F52/G52,0),"")</f>
        <v>159576</v>
      </c>
    </row>
    <row r="53" customFormat="false" ht="15" hidden="false" customHeight="false" outlineLevel="0" collapsed="false">
      <c r="A53" s="2" t="s">
        <v>123</v>
      </c>
      <c r="B53" s="3" t="s">
        <v>20</v>
      </c>
      <c r="C53" s="3" t="s">
        <v>122</v>
      </c>
      <c r="D53" s="3" t="n">
        <v>17</v>
      </c>
      <c r="E53" s="12" t="s">
        <v>2</v>
      </c>
      <c r="F53" s="13" t="n">
        <v>4010067</v>
      </c>
      <c r="G53" s="3" t="n">
        <v>21</v>
      </c>
      <c r="H53" s="13" t="n">
        <f aca="false">IF(G53&gt;0,ROUND(F53/G53,0),"")</f>
        <v>190956</v>
      </c>
    </row>
    <row r="54" customFormat="false" ht="15" hidden="false" customHeight="false" outlineLevel="0" collapsed="false">
      <c r="A54" s="2" t="s">
        <v>124</v>
      </c>
      <c r="B54" s="3" t="s">
        <v>125</v>
      </c>
      <c r="C54" s="3" t="s">
        <v>97</v>
      </c>
      <c r="D54" s="3" t="n">
        <v>17</v>
      </c>
      <c r="E54" s="12" t="s">
        <v>2</v>
      </c>
      <c r="F54" s="13" t="n">
        <v>3511909</v>
      </c>
      <c r="G54" s="3" t="n">
        <v>60</v>
      </c>
      <c r="H54" s="13" t="n">
        <f aca="false">IF(G54&gt;0,ROUND(F54/G54,0),"")</f>
        <v>58532</v>
      </c>
    </row>
    <row r="55" customFormat="false" ht="15" hidden="false" customHeight="false" outlineLevel="0" collapsed="false">
      <c r="A55" s="8" t="s">
        <v>126</v>
      </c>
      <c r="B55" s="9" t="s">
        <v>29</v>
      </c>
      <c r="C55" s="9" t="s">
        <v>44</v>
      </c>
      <c r="D55" s="9" t="n">
        <v>16</v>
      </c>
      <c r="E55" s="10" t="s">
        <v>45</v>
      </c>
      <c r="F55" s="11" t="n">
        <v>7163545</v>
      </c>
      <c r="G55" s="9" t="n">
        <v>32</v>
      </c>
      <c r="H55" s="11" t="n">
        <f aca="false">IF(G55&gt;0,ROUND(F55/G55,0),"")</f>
        <v>223861</v>
      </c>
    </row>
    <row r="56" customFormat="false" ht="15" hidden="false" customHeight="false" outlineLevel="0" collapsed="false">
      <c r="A56" s="8" t="s">
        <v>127</v>
      </c>
      <c r="B56" s="9" t="s">
        <v>29</v>
      </c>
      <c r="C56" s="9" t="s">
        <v>44</v>
      </c>
      <c r="D56" s="9" t="n">
        <v>16</v>
      </c>
      <c r="E56" s="10" t="s">
        <v>45</v>
      </c>
      <c r="F56" s="11" t="n">
        <v>3689220</v>
      </c>
      <c r="G56" s="9" t="n">
        <v>25</v>
      </c>
      <c r="H56" s="11" t="n">
        <f aca="false">IF(G56&gt;0,ROUND(F56/G56,0),"")</f>
        <v>147569</v>
      </c>
    </row>
    <row r="57" customFormat="false" ht="15" hidden="false" customHeight="false" outlineLevel="0" collapsed="false">
      <c r="A57" s="8" t="s">
        <v>128</v>
      </c>
      <c r="B57" s="9" t="s">
        <v>29</v>
      </c>
      <c r="C57" s="9" t="s">
        <v>44</v>
      </c>
      <c r="D57" s="9" t="n">
        <v>16</v>
      </c>
      <c r="E57" s="10" t="s">
        <v>45</v>
      </c>
      <c r="F57" s="11" t="n">
        <v>3660018</v>
      </c>
      <c r="G57" s="9" t="n">
        <v>27</v>
      </c>
      <c r="H57" s="11" t="n">
        <f aca="false">IF(G57&gt;0,ROUND(F57/G57,0),"")</f>
        <v>135556</v>
      </c>
    </row>
    <row r="58" customFormat="false" ht="15" hidden="false" customHeight="false" outlineLevel="0" collapsed="false">
      <c r="A58" s="2" t="s">
        <v>129</v>
      </c>
      <c r="B58" s="3" t="s">
        <v>43</v>
      </c>
      <c r="C58" s="3" t="s">
        <v>130</v>
      </c>
      <c r="D58" s="3" t="n">
        <v>16</v>
      </c>
      <c r="E58" s="12" t="s">
        <v>2</v>
      </c>
      <c r="F58" s="13" t="n">
        <v>3526100</v>
      </c>
      <c r="G58" s="3" t="n">
        <v>44</v>
      </c>
      <c r="H58" s="13" t="n">
        <f aca="false">IF(G58&gt;0,ROUND(F58/G58,0),"")</f>
        <v>80139</v>
      </c>
    </row>
    <row r="59" customFormat="false" ht="15" hidden="false" customHeight="false" outlineLevel="0" collapsed="false">
      <c r="A59" s="2" t="s">
        <v>131</v>
      </c>
      <c r="B59" s="3" t="s">
        <v>132</v>
      </c>
      <c r="C59" s="3" t="s">
        <v>77</v>
      </c>
      <c r="D59" s="3" t="n">
        <v>15</v>
      </c>
      <c r="E59" s="12" t="s">
        <v>2</v>
      </c>
      <c r="F59" s="13" t="n">
        <v>3419878</v>
      </c>
      <c r="G59" s="3" t="n">
        <v>19</v>
      </c>
      <c r="H59" s="13" t="n">
        <f aca="false">IF(G59&gt;0,ROUND(F59/G59,0),"")</f>
        <v>179994</v>
      </c>
    </row>
    <row r="60" customFormat="false" ht="15" hidden="false" customHeight="false" outlineLevel="0" collapsed="false">
      <c r="A60" s="2" t="s">
        <v>133</v>
      </c>
      <c r="B60" s="3" t="s">
        <v>16</v>
      </c>
      <c r="C60" s="3" t="s">
        <v>18</v>
      </c>
      <c r="D60" s="3" t="n">
        <v>15</v>
      </c>
      <c r="E60" s="12" t="s">
        <v>2</v>
      </c>
      <c r="F60" s="13" t="n">
        <v>3477530</v>
      </c>
      <c r="G60" s="3" t="n">
        <v>24</v>
      </c>
      <c r="H60" s="13" t="n">
        <f aca="false">IF(G60&gt;0,ROUND(F60/G60,0),"")</f>
        <v>144897</v>
      </c>
    </row>
    <row r="61" customFormat="false" ht="15" hidden="false" customHeight="false" outlineLevel="0" collapsed="false">
      <c r="A61" s="2" t="s">
        <v>134</v>
      </c>
      <c r="B61" s="3" t="s">
        <v>135</v>
      </c>
      <c r="C61" s="3" t="s">
        <v>22</v>
      </c>
      <c r="D61" s="3" t="n">
        <v>14</v>
      </c>
      <c r="E61" s="12" t="s">
        <v>2</v>
      </c>
      <c r="F61" s="13" t="n">
        <v>3150764</v>
      </c>
      <c r="G61" s="3" t="n">
        <v>12</v>
      </c>
      <c r="H61" s="13" t="n">
        <f aca="false">IF(G61&gt;0,ROUND(F61/G61,0),"")</f>
        <v>262564</v>
      </c>
    </row>
    <row r="62" customFormat="false" ht="15" hidden="false" customHeight="false" outlineLevel="0" collapsed="false">
      <c r="A62" s="2" t="s">
        <v>136</v>
      </c>
      <c r="B62" s="3" t="s">
        <v>81</v>
      </c>
      <c r="C62" s="3" t="s">
        <v>15</v>
      </c>
      <c r="D62" s="3" t="n">
        <v>14</v>
      </c>
      <c r="E62" s="12" t="s">
        <v>2</v>
      </c>
      <c r="F62" s="13" t="n">
        <v>3217245</v>
      </c>
      <c r="G62" s="3" t="n">
        <v>23</v>
      </c>
      <c r="H62" s="13" t="n">
        <f aca="false">IF(G62&gt;0,ROUND(F62/G62,0),"")</f>
        <v>139880</v>
      </c>
    </row>
    <row r="63" customFormat="false" ht="15" hidden="false" customHeight="false" outlineLevel="0" collapsed="false">
      <c r="A63" s="2" t="s">
        <v>137</v>
      </c>
      <c r="B63" s="3" t="s">
        <v>83</v>
      </c>
      <c r="C63" s="3" t="s">
        <v>81</v>
      </c>
      <c r="D63" s="3" t="n">
        <v>13</v>
      </c>
      <c r="E63" s="12" t="s">
        <v>2</v>
      </c>
      <c r="F63" s="13" t="n">
        <v>3561212</v>
      </c>
      <c r="G63" s="3" t="n">
        <v>25</v>
      </c>
      <c r="H63" s="13" t="n">
        <f aca="false">IF(G63&gt;0,ROUND(F63/G63,0),"")</f>
        <v>142448</v>
      </c>
    </row>
    <row r="64" customFormat="false" ht="15" hidden="false" customHeight="false" outlineLevel="0" collapsed="false">
      <c r="A64" s="2" t="s">
        <v>138</v>
      </c>
      <c r="B64" s="3" t="s">
        <v>83</v>
      </c>
      <c r="C64" s="3" t="s">
        <v>81</v>
      </c>
      <c r="D64" s="3" t="n">
        <v>13</v>
      </c>
      <c r="E64" s="12" t="s">
        <v>2</v>
      </c>
      <c r="F64" s="13" t="n">
        <v>2366867</v>
      </c>
      <c r="G64" s="3" t="n">
        <v>27</v>
      </c>
      <c r="H64" s="13" t="n">
        <f aca="false">IF(G64&gt;0,ROUND(F64/G64,0),"")</f>
        <v>87662</v>
      </c>
    </row>
    <row r="65" customFormat="false" ht="15" hidden="false" customHeight="false" outlineLevel="0" collapsed="false">
      <c r="A65" s="2" t="s">
        <v>139</v>
      </c>
      <c r="B65" s="3" t="s">
        <v>29</v>
      </c>
      <c r="C65" s="3" t="s">
        <v>112</v>
      </c>
      <c r="D65" s="3" t="n">
        <v>12</v>
      </c>
      <c r="E65" s="12" t="s">
        <v>2</v>
      </c>
      <c r="F65" s="13" t="n">
        <v>2769986</v>
      </c>
      <c r="G65" s="3" t="n">
        <v>16</v>
      </c>
      <c r="H65" s="13" t="n">
        <f aca="false">IF(G65&gt;0,ROUND(F65/G65,0),"")</f>
        <v>173124</v>
      </c>
    </row>
    <row r="66" customFormat="false" ht="15" hidden="false" customHeight="false" outlineLevel="0" collapsed="false">
      <c r="A66" s="2" t="s">
        <v>140</v>
      </c>
      <c r="B66" s="3" t="s">
        <v>29</v>
      </c>
      <c r="C66" s="3" t="s">
        <v>112</v>
      </c>
      <c r="D66" s="3" t="n">
        <v>12</v>
      </c>
      <c r="E66" s="12" t="s">
        <v>2</v>
      </c>
      <c r="F66" s="13" t="n">
        <v>2760710</v>
      </c>
      <c r="G66" s="3" t="n">
        <v>13</v>
      </c>
      <c r="H66" s="13" t="n">
        <f aca="false">IF(G66&gt;0,ROUND(F66/G66,0),"")</f>
        <v>212362</v>
      </c>
    </row>
    <row r="67" customFormat="false" ht="15" hidden="false" customHeight="false" outlineLevel="0" collapsed="false">
      <c r="A67" s="2" t="s">
        <v>141</v>
      </c>
      <c r="B67" s="3" t="s">
        <v>28</v>
      </c>
      <c r="C67" s="3" t="s">
        <v>142</v>
      </c>
      <c r="D67" s="3" t="n">
        <v>12</v>
      </c>
      <c r="E67" s="12" t="s">
        <v>2</v>
      </c>
      <c r="F67" s="13" t="n">
        <v>2195563</v>
      </c>
      <c r="G67" s="3" t="n">
        <v>7</v>
      </c>
      <c r="H67" s="13" t="n">
        <f aca="false">IF(G67&gt;0,ROUND(F67/G67,0),"")</f>
        <v>313652</v>
      </c>
    </row>
    <row r="68" customFormat="false" ht="15" hidden="false" customHeight="false" outlineLevel="0" collapsed="false">
      <c r="A68" s="2" t="s">
        <v>143</v>
      </c>
      <c r="B68" s="3" t="s">
        <v>28</v>
      </c>
      <c r="C68" s="3" t="s">
        <v>142</v>
      </c>
      <c r="D68" s="3" t="n">
        <v>12</v>
      </c>
      <c r="E68" s="12" t="s">
        <v>2</v>
      </c>
      <c r="F68" s="13" t="n">
        <v>2772052</v>
      </c>
      <c r="G68" s="3" t="n">
        <v>14</v>
      </c>
      <c r="H68" s="13" t="n">
        <f aca="false">IF(G68&gt;0,ROUND(F68/G68,0),"")</f>
        <v>198004</v>
      </c>
    </row>
    <row r="69" customFormat="false" ht="15" hidden="false" customHeight="false" outlineLevel="0" collapsed="false">
      <c r="A69" s="2" t="s">
        <v>144</v>
      </c>
      <c r="B69" s="3" t="s">
        <v>26</v>
      </c>
      <c r="C69" s="3" t="s">
        <v>69</v>
      </c>
      <c r="D69" s="3" t="n">
        <v>12</v>
      </c>
      <c r="E69" s="12" t="s">
        <v>2</v>
      </c>
      <c r="F69" s="13" t="n">
        <v>2714385</v>
      </c>
      <c r="G69" s="3" t="n">
        <v>15</v>
      </c>
      <c r="H69" s="13" t="n">
        <f aca="false">IF(G69&gt;0,ROUND(F69/G69,0),"")</f>
        <v>180959</v>
      </c>
    </row>
    <row r="70" customFormat="false" ht="15" hidden="false" customHeight="false" outlineLevel="0" collapsed="false">
      <c r="A70" s="2" t="s">
        <v>145</v>
      </c>
      <c r="B70" s="3" t="s">
        <v>26</v>
      </c>
      <c r="C70" s="3" t="s">
        <v>69</v>
      </c>
      <c r="D70" s="3" t="n">
        <v>12</v>
      </c>
      <c r="E70" s="12" t="s">
        <v>2</v>
      </c>
      <c r="F70" s="13" t="n">
        <v>2722202</v>
      </c>
      <c r="G70" s="3" t="n">
        <v>17</v>
      </c>
      <c r="H70" s="13" t="n">
        <f aca="false">IF(G70&gt;0,ROUND(F70/G70,0),"")</f>
        <v>160130</v>
      </c>
    </row>
    <row r="71" customFormat="false" ht="15" hidden="false" customHeight="false" outlineLevel="0" collapsed="false">
      <c r="A71" s="2" t="s">
        <v>146</v>
      </c>
      <c r="B71" s="3" t="s">
        <v>24</v>
      </c>
      <c r="C71" s="3" t="s">
        <v>93</v>
      </c>
      <c r="D71" s="3" t="n">
        <v>12</v>
      </c>
      <c r="E71" s="12" t="s">
        <v>2</v>
      </c>
      <c r="F71" s="13" t="n">
        <v>2723805</v>
      </c>
      <c r="G71" s="3" t="n">
        <v>24</v>
      </c>
      <c r="H71" s="13" t="n">
        <f aca="false">IF(G71&gt;0,ROUND(F71/G71,0),"")</f>
        <v>113492</v>
      </c>
    </row>
    <row r="72" customFormat="false" ht="15" hidden="false" customHeight="false" outlineLevel="0" collapsed="false">
      <c r="A72" s="2" t="s">
        <v>147</v>
      </c>
      <c r="B72" s="3" t="s">
        <v>24</v>
      </c>
      <c r="C72" s="3" t="s">
        <v>93</v>
      </c>
      <c r="D72" s="3" t="n">
        <v>12</v>
      </c>
      <c r="E72" s="12" t="s">
        <v>2</v>
      </c>
      <c r="F72" s="13" t="n">
        <v>2056813</v>
      </c>
      <c r="G72" s="3" t="n">
        <v>5</v>
      </c>
      <c r="H72" s="13" t="n">
        <f aca="false">IF(G72&gt;0,ROUND(F72/G72,0),"")</f>
        <v>411363</v>
      </c>
    </row>
    <row r="73" customFormat="false" ht="15" hidden="false" customHeight="false" outlineLevel="0" collapsed="false">
      <c r="A73" s="2" t="s">
        <v>148</v>
      </c>
      <c r="B73" s="3" t="s">
        <v>21</v>
      </c>
      <c r="C73" s="3" t="s">
        <v>149</v>
      </c>
      <c r="D73" s="3" t="n">
        <v>12</v>
      </c>
      <c r="E73" s="12" t="s">
        <v>2</v>
      </c>
      <c r="F73" s="13" t="n">
        <v>2801293</v>
      </c>
      <c r="G73" s="3" t="n">
        <v>9</v>
      </c>
      <c r="H73" s="13" t="n">
        <f aca="false">IF(G73&gt;0,ROUND(F73/G73,0),"")</f>
        <v>311255</v>
      </c>
    </row>
    <row r="74" customFormat="false" ht="15" hidden="false" customHeight="false" outlineLevel="0" collapsed="false">
      <c r="A74" s="2" t="s">
        <v>150</v>
      </c>
      <c r="B74" s="3" t="s">
        <v>19</v>
      </c>
      <c r="C74" s="3" t="s">
        <v>71</v>
      </c>
      <c r="D74" s="3" t="n">
        <v>12</v>
      </c>
      <c r="E74" s="12" t="s">
        <v>2</v>
      </c>
      <c r="F74" s="13" t="n">
        <v>2661821</v>
      </c>
      <c r="G74" s="3" t="n">
        <v>13</v>
      </c>
      <c r="H74" s="13" t="n">
        <f aca="false">IF(G74&gt;0,ROUND(F74/G74,0),"")</f>
        <v>204755</v>
      </c>
    </row>
    <row r="75" customFormat="false" ht="15" hidden="false" customHeight="false" outlineLevel="0" collapsed="false">
      <c r="A75" s="2" t="s">
        <v>151</v>
      </c>
      <c r="B75" s="3" t="s">
        <v>19</v>
      </c>
      <c r="C75" s="3" t="s">
        <v>71</v>
      </c>
      <c r="D75" s="3" t="n">
        <v>12</v>
      </c>
      <c r="E75" s="12" t="s">
        <v>2</v>
      </c>
      <c r="F75" s="13" t="n">
        <v>2697918</v>
      </c>
      <c r="G75" s="3" t="n">
        <v>13</v>
      </c>
      <c r="H75" s="13" t="n">
        <f aca="false">IF(G75&gt;0,ROUND(F75/G75,0),"")</f>
        <v>207532</v>
      </c>
    </row>
    <row r="76" customFormat="false" ht="15" hidden="false" customHeight="false" outlineLevel="0" collapsed="false">
      <c r="A76" s="2" t="s">
        <v>152</v>
      </c>
      <c r="B76" s="3" t="s">
        <v>17</v>
      </c>
      <c r="C76" s="3" t="s">
        <v>153</v>
      </c>
      <c r="D76" s="3" t="n">
        <v>12</v>
      </c>
      <c r="E76" s="12" t="s">
        <v>2</v>
      </c>
      <c r="F76" s="13" t="n">
        <v>1124996</v>
      </c>
      <c r="G76" s="3" t="n">
        <v>6</v>
      </c>
      <c r="H76" s="13" t="n">
        <f aca="false">IF(G76&gt;0,ROUND(F76/G76,0),"")</f>
        <v>187499</v>
      </c>
    </row>
    <row r="77" customFormat="false" ht="15" hidden="false" customHeight="false" outlineLevel="0" collapsed="false">
      <c r="A77" s="2" t="s">
        <v>154</v>
      </c>
      <c r="B77" s="3" t="s">
        <v>43</v>
      </c>
      <c r="C77" s="3" t="s">
        <v>6</v>
      </c>
      <c r="D77" s="3" t="n">
        <v>12</v>
      </c>
      <c r="E77" s="12" t="s">
        <v>2</v>
      </c>
      <c r="F77" s="13" t="n">
        <v>2204904</v>
      </c>
      <c r="G77" s="3" t="n">
        <v>20</v>
      </c>
      <c r="H77" s="13" t="n">
        <f aca="false">IF(G77&gt;0,ROUND(F77/G77,0),"")</f>
        <v>110245</v>
      </c>
    </row>
    <row r="78" customFormat="false" ht="15" hidden="false" customHeight="false" outlineLevel="0" collapsed="false">
      <c r="A78" s="2" t="s">
        <v>155</v>
      </c>
      <c r="B78" s="3" t="s">
        <v>43</v>
      </c>
      <c r="C78" s="3" t="s">
        <v>6</v>
      </c>
      <c r="D78" s="3" t="n">
        <v>12</v>
      </c>
      <c r="E78" s="12" t="s">
        <v>2</v>
      </c>
      <c r="F78" s="13" t="n">
        <v>4069072</v>
      </c>
      <c r="G78" s="3" t="n">
        <v>44</v>
      </c>
      <c r="H78" s="13" t="n">
        <f aca="false">IF(G78&gt;0,ROUND(F78/G78,0),"")</f>
        <v>92479</v>
      </c>
    </row>
    <row r="79" customFormat="false" ht="15" hidden="false" customHeight="false" outlineLevel="0" collapsed="false">
      <c r="A79" s="2" t="s">
        <v>156</v>
      </c>
      <c r="B79" s="3" t="s">
        <v>43</v>
      </c>
      <c r="C79" s="3" t="s">
        <v>6</v>
      </c>
      <c r="D79" s="3" t="n">
        <v>12</v>
      </c>
      <c r="E79" s="12" t="s">
        <v>2</v>
      </c>
      <c r="F79" s="13" t="n">
        <v>2247849</v>
      </c>
      <c r="G79" s="3" t="n">
        <v>20</v>
      </c>
      <c r="H79" s="13" t="n">
        <f aca="false">IF(G79&gt;0,ROUND(F79/G79,0),"")</f>
        <v>112392</v>
      </c>
    </row>
    <row r="80" customFormat="false" ht="15" hidden="false" customHeight="false" outlineLevel="0" collapsed="false">
      <c r="A80" s="2" t="s">
        <v>157</v>
      </c>
      <c r="B80" s="3" t="s">
        <v>77</v>
      </c>
      <c r="C80" s="3" t="s">
        <v>158</v>
      </c>
      <c r="D80" s="3" t="n">
        <v>11</v>
      </c>
      <c r="E80" s="12" t="s">
        <v>2</v>
      </c>
      <c r="F80" s="13" t="n">
        <v>2520176</v>
      </c>
      <c r="G80" s="3" t="n">
        <v>15</v>
      </c>
      <c r="H80" s="13" t="n">
        <f aca="false">IF(G80&gt;0,ROUND(F80/G80,0),"")</f>
        <v>168012</v>
      </c>
    </row>
    <row r="81" customFormat="false" ht="15" hidden="false" customHeight="false" outlineLevel="0" collapsed="false">
      <c r="A81" s="2" t="s">
        <v>159</v>
      </c>
      <c r="B81" s="3" t="s">
        <v>28</v>
      </c>
      <c r="C81" s="3" t="s">
        <v>117</v>
      </c>
      <c r="D81" s="3" t="n">
        <v>10</v>
      </c>
      <c r="E81" s="12" t="s">
        <v>2</v>
      </c>
      <c r="F81" s="13" t="n">
        <v>2160077</v>
      </c>
      <c r="G81" s="3" t="n">
        <v>7</v>
      </c>
      <c r="H81" s="13" t="n">
        <f aca="false">IF(G81&gt;0,ROUND(F81/G81,0),"")</f>
        <v>308582</v>
      </c>
    </row>
    <row r="82" customFormat="false" ht="15" hidden="false" customHeight="false" outlineLevel="0" collapsed="false">
      <c r="A82" s="2" t="s">
        <v>160</v>
      </c>
      <c r="B82" s="3" t="s">
        <v>27</v>
      </c>
      <c r="C82" s="3" t="s">
        <v>119</v>
      </c>
      <c r="D82" s="3" t="n">
        <v>10</v>
      </c>
      <c r="E82" s="12" t="s">
        <v>2</v>
      </c>
      <c r="F82" s="13" t="n">
        <v>2222096</v>
      </c>
      <c r="G82" s="3" t="n">
        <v>13</v>
      </c>
      <c r="H82" s="13" t="n">
        <f aca="false">IF(G82&gt;0,ROUND(F82/G82,0),"")</f>
        <v>170930</v>
      </c>
    </row>
    <row r="83" customFormat="false" ht="15" hidden="false" customHeight="false" outlineLevel="0" collapsed="false">
      <c r="A83" s="2" t="s">
        <v>161</v>
      </c>
      <c r="B83" s="3" t="s">
        <v>26</v>
      </c>
      <c r="C83" s="3" t="s">
        <v>54</v>
      </c>
      <c r="D83" s="3" t="n">
        <v>10</v>
      </c>
      <c r="E83" s="12" t="s">
        <v>2</v>
      </c>
      <c r="F83" s="13" t="n">
        <v>2223883</v>
      </c>
      <c r="G83" s="3" t="n">
        <v>6</v>
      </c>
      <c r="H83" s="13" t="n">
        <f aca="false">IF(G83&gt;0,ROUND(F83/G83,0),"")</f>
        <v>370647</v>
      </c>
    </row>
    <row r="84" customFormat="false" ht="15" hidden="false" customHeight="false" outlineLevel="0" collapsed="false">
      <c r="A84" s="2" t="s">
        <v>162</v>
      </c>
      <c r="B84" s="3" t="s">
        <v>19</v>
      </c>
      <c r="C84" s="3" t="s">
        <v>163</v>
      </c>
      <c r="D84" s="3" t="n">
        <v>10</v>
      </c>
      <c r="E84" s="12" t="s">
        <v>2</v>
      </c>
      <c r="F84" s="13" t="n">
        <v>2151875</v>
      </c>
      <c r="G84" s="3" t="n">
        <v>8</v>
      </c>
      <c r="H84" s="13" t="n">
        <f aca="false">IF(G84&gt;0,ROUND(F84/G84,0),"")</f>
        <v>268984</v>
      </c>
    </row>
    <row r="85" customFormat="false" ht="15" hidden="false" customHeight="false" outlineLevel="0" collapsed="false">
      <c r="A85" s="2" t="s">
        <v>164</v>
      </c>
      <c r="B85" s="3" t="s">
        <v>18</v>
      </c>
      <c r="C85" s="3" t="s">
        <v>165</v>
      </c>
      <c r="D85" s="3" t="n">
        <v>10</v>
      </c>
      <c r="E85" s="12" t="s">
        <v>2</v>
      </c>
      <c r="F85" s="13" t="n">
        <v>2211508</v>
      </c>
      <c r="G85" s="3" t="n">
        <v>10</v>
      </c>
      <c r="H85" s="13" t="n">
        <f aca="false">IF(G85&gt;0,ROUND(F85/G85,0),"")</f>
        <v>221151</v>
      </c>
    </row>
    <row r="86" customFormat="false" ht="15" hidden="false" customHeight="false" outlineLevel="0" collapsed="false">
      <c r="A86" s="2" t="s">
        <v>166</v>
      </c>
      <c r="B86" s="3" t="s">
        <v>167</v>
      </c>
      <c r="C86" s="3" t="s">
        <v>168</v>
      </c>
      <c r="D86" s="3" t="n">
        <v>10</v>
      </c>
      <c r="E86" s="12" t="s">
        <v>2</v>
      </c>
      <c r="F86" s="13" t="n">
        <v>2228978</v>
      </c>
      <c r="G86" s="3" t="n">
        <v>15</v>
      </c>
      <c r="H86" s="13" t="n">
        <f aca="false">IF(G86&gt;0,ROUND(F86/G86,0),"")</f>
        <v>148599</v>
      </c>
    </row>
    <row r="87" customFormat="false" ht="15" hidden="false" customHeight="false" outlineLevel="0" collapsed="false">
      <c r="A87" s="2" t="s">
        <v>169</v>
      </c>
      <c r="B87" s="3" t="s">
        <v>5</v>
      </c>
      <c r="C87" s="3" t="s">
        <v>125</v>
      </c>
      <c r="D87" s="3" t="n">
        <v>10</v>
      </c>
      <c r="E87" s="12" t="s">
        <v>2</v>
      </c>
      <c r="F87" s="13" t="n">
        <v>1798890</v>
      </c>
      <c r="G87" s="3" t="n">
        <v>14</v>
      </c>
      <c r="H87" s="13" t="n">
        <f aca="false">IF(G87&gt;0,ROUND(F87/G87,0),"")</f>
        <v>128492</v>
      </c>
    </row>
    <row r="88" customFormat="false" ht="15" hidden="false" customHeight="false" outlineLevel="0" collapsed="false">
      <c r="A88" s="8" t="s">
        <v>170</v>
      </c>
      <c r="B88" s="9" t="s">
        <v>30</v>
      </c>
      <c r="C88" s="9" t="s">
        <v>44</v>
      </c>
      <c r="D88" s="9" t="n">
        <v>9</v>
      </c>
      <c r="E88" s="10" t="s">
        <v>45</v>
      </c>
      <c r="F88" s="11" t="n">
        <v>1962331</v>
      </c>
      <c r="G88" s="9" t="n">
        <v>9</v>
      </c>
      <c r="H88" s="11" t="n">
        <f aca="false">IF(G88&gt;0,ROUND(F88/G88,0),"")</f>
        <v>218037</v>
      </c>
    </row>
    <row r="89" customFormat="false" ht="15" hidden="false" customHeight="false" outlineLevel="0" collapsed="false">
      <c r="A89" s="8" t="s">
        <v>171</v>
      </c>
      <c r="B89" s="9" t="s">
        <v>30</v>
      </c>
      <c r="C89" s="9" t="s">
        <v>44</v>
      </c>
      <c r="D89" s="9" t="n">
        <v>9</v>
      </c>
      <c r="E89" s="10" t="s">
        <v>45</v>
      </c>
      <c r="F89" s="11" t="n">
        <v>2379450</v>
      </c>
      <c r="G89" s="9" t="n">
        <v>15</v>
      </c>
      <c r="H89" s="11" t="n">
        <f aca="false">IF(G89&gt;0,ROUND(F89/G89,0),"")</f>
        <v>158630</v>
      </c>
    </row>
    <row r="90" customFormat="false" ht="15" hidden="false" customHeight="false" outlineLevel="0" collapsed="false">
      <c r="A90" s="8" t="s">
        <v>172</v>
      </c>
      <c r="B90" s="9" t="s">
        <v>30</v>
      </c>
      <c r="C90" s="9" t="s">
        <v>44</v>
      </c>
      <c r="D90" s="9" t="n">
        <v>9</v>
      </c>
      <c r="E90" s="10" t="s">
        <v>45</v>
      </c>
      <c r="F90" s="11" t="n">
        <v>1974841</v>
      </c>
      <c r="G90" s="9" t="n">
        <v>11</v>
      </c>
      <c r="H90" s="11" t="n">
        <f aca="false">IF(G90&gt;0,ROUND(F90/G90,0),"")</f>
        <v>179531</v>
      </c>
    </row>
    <row r="91" customFormat="false" ht="15" hidden="false" customHeight="false" outlineLevel="0" collapsed="false">
      <c r="A91" s="8" t="s">
        <v>173</v>
      </c>
      <c r="B91" s="9" t="s">
        <v>30</v>
      </c>
      <c r="C91" s="9" t="s">
        <v>44</v>
      </c>
      <c r="D91" s="9" t="n">
        <v>9</v>
      </c>
      <c r="E91" s="10" t="s">
        <v>45</v>
      </c>
      <c r="F91" s="11" t="n">
        <v>1259528</v>
      </c>
      <c r="G91" s="9" t="n">
        <v>2</v>
      </c>
      <c r="H91" s="11" t="n">
        <f aca="false">IF(G91&gt;0,ROUND(F91/G91,0),"")</f>
        <v>629764</v>
      </c>
    </row>
    <row r="92" customFormat="false" ht="15" hidden="false" customHeight="false" outlineLevel="0" collapsed="false">
      <c r="A92" s="8" t="s">
        <v>174</v>
      </c>
      <c r="B92" s="9" t="s">
        <v>30</v>
      </c>
      <c r="C92" s="9" t="s">
        <v>44</v>
      </c>
      <c r="D92" s="9" t="n">
        <v>9</v>
      </c>
      <c r="E92" s="10" t="s">
        <v>45</v>
      </c>
      <c r="F92" s="11" t="n">
        <v>1951461</v>
      </c>
      <c r="G92" s="9" t="n">
        <v>7</v>
      </c>
      <c r="H92" s="11" t="n">
        <f aca="false">IF(G92&gt;0,ROUND(F92/G92,0),"")</f>
        <v>278780</v>
      </c>
    </row>
    <row r="93" customFormat="false" ht="15" hidden="false" customHeight="false" outlineLevel="0" collapsed="false">
      <c r="A93" s="2" t="s">
        <v>175</v>
      </c>
      <c r="B93" s="3" t="s">
        <v>24</v>
      </c>
      <c r="C93" s="3" t="s">
        <v>77</v>
      </c>
      <c r="D93" s="3" t="n">
        <v>9</v>
      </c>
      <c r="E93" s="12" t="s">
        <v>2</v>
      </c>
      <c r="F93" s="13" t="n">
        <v>1955694</v>
      </c>
      <c r="G93" s="3" t="n">
        <v>11</v>
      </c>
      <c r="H93" s="13" t="n">
        <f aca="false">IF(G93&gt;0,ROUND(F93/G93,0),"")</f>
        <v>177790</v>
      </c>
    </row>
    <row r="94" customFormat="false" ht="15" hidden="false" customHeight="false" outlineLevel="0" collapsed="false">
      <c r="A94" s="2" t="s">
        <v>176</v>
      </c>
      <c r="B94" s="3" t="s">
        <v>12</v>
      </c>
      <c r="C94" s="3" t="s">
        <v>81</v>
      </c>
      <c r="D94" s="3" t="n">
        <v>9</v>
      </c>
      <c r="E94" s="12" t="s">
        <v>2</v>
      </c>
      <c r="F94" s="13" t="n">
        <v>1561134</v>
      </c>
      <c r="G94" s="3" t="n">
        <v>13</v>
      </c>
      <c r="H94" s="13" t="n">
        <f aca="false">IF(G94&gt;0,ROUND(F94/G94,0),"")</f>
        <v>120087</v>
      </c>
    </row>
    <row r="95" customFormat="false" ht="15" hidden="false" customHeight="false" outlineLevel="0" collapsed="false">
      <c r="A95" s="2" t="s">
        <v>177</v>
      </c>
      <c r="B95" s="3" t="s">
        <v>43</v>
      </c>
      <c r="C95" s="3" t="s">
        <v>178</v>
      </c>
      <c r="D95" s="3" t="n">
        <v>9</v>
      </c>
      <c r="E95" s="12" t="s">
        <v>2</v>
      </c>
      <c r="F95" s="13" t="n">
        <v>2190839</v>
      </c>
      <c r="G95" s="3" t="n">
        <v>19</v>
      </c>
      <c r="H95" s="13" t="n">
        <f aca="false">IF(G95&gt;0,ROUND(F95/G95,0),"")</f>
        <v>115307</v>
      </c>
    </row>
    <row r="96" customFormat="false" ht="15" hidden="false" customHeight="false" outlineLevel="0" collapsed="false">
      <c r="A96" s="2" t="s">
        <v>179</v>
      </c>
      <c r="B96" s="3" t="s">
        <v>43</v>
      </c>
      <c r="C96" s="3" t="s">
        <v>178</v>
      </c>
      <c r="D96" s="3" t="n">
        <v>9</v>
      </c>
      <c r="E96" s="12" t="s">
        <v>2</v>
      </c>
      <c r="F96" s="13" t="n">
        <v>1860179</v>
      </c>
      <c r="G96" s="3" t="n">
        <v>18</v>
      </c>
      <c r="H96" s="13" t="n">
        <f aca="false">IF(G96&gt;0,ROUND(F96/G96,0),"")</f>
        <v>103343</v>
      </c>
    </row>
    <row r="97" customFormat="false" ht="15" hidden="false" customHeight="false" outlineLevel="0" collapsed="false">
      <c r="A97" s="2" t="s">
        <v>180</v>
      </c>
      <c r="B97" s="3" t="s">
        <v>29</v>
      </c>
      <c r="C97" s="3" t="s">
        <v>30</v>
      </c>
      <c r="D97" s="3" t="n">
        <v>8</v>
      </c>
      <c r="E97" s="12" t="s">
        <v>2</v>
      </c>
      <c r="F97" s="13" t="n">
        <v>1683690</v>
      </c>
      <c r="G97" s="3" t="n">
        <v>7</v>
      </c>
      <c r="H97" s="13" t="n">
        <f aca="false">IF(G97&gt;0,ROUND(F97/G97,0),"")</f>
        <v>240527</v>
      </c>
    </row>
    <row r="98" customFormat="false" ht="15" hidden="false" customHeight="false" outlineLevel="0" collapsed="false">
      <c r="A98" s="2" t="s">
        <v>181</v>
      </c>
      <c r="B98" s="3" t="s">
        <v>21</v>
      </c>
      <c r="C98" s="3" t="s">
        <v>22</v>
      </c>
      <c r="D98" s="3" t="n">
        <v>8</v>
      </c>
      <c r="E98" s="12" t="s">
        <v>2</v>
      </c>
      <c r="F98" s="13" t="n">
        <v>1654696</v>
      </c>
      <c r="G98" s="3" t="n">
        <v>5</v>
      </c>
      <c r="H98" s="13" t="n">
        <f aca="false">IF(G98&gt;0,ROUND(F98/G98,0),"")</f>
        <v>330939</v>
      </c>
    </row>
    <row r="99" customFormat="false" ht="15" hidden="false" customHeight="false" outlineLevel="0" collapsed="false">
      <c r="A99" s="2" t="s">
        <v>182</v>
      </c>
      <c r="B99" s="3" t="s">
        <v>19</v>
      </c>
      <c r="C99" s="3" t="s">
        <v>20</v>
      </c>
      <c r="D99" s="3" t="n">
        <v>8</v>
      </c>
      <c r="E99" s="12" t="s">
        <v>2</v>
      </c>
      <c r="F99" s="13" t="n">
        <v>1619829</v>
      </c>
      <c r="G99" s="3" t="n">
        <v>5</v>
      </c>
      <c r="H99" s="13" t="n">
        <f aca="false">IF(G99&gt;0,ROUND(F99/G99,0),"")</f>
        <v>323966</v>
      </c>
    </row>
    <row r="100" customFormat="false" ht="15" hidden="false" customHeight="false" outlineLevel="0" collapsed="false">
      <c r="A100" s="2" t="s">
        <v>183</v>
      </c>
      <c r="B100" s="3" t="s">
        <v>77</v>
      </c>
      <c r="C100" s="3" t="s">
        <v>26</v>
      </c>
      <c r="D100" s="3" t="n">
        <v>7</v>
      </c>
      <c r="E100" s="12" t="s">
        <v>2</v>
      </c>
      <c r="F100" s="13" t="n">
        <v>1351885</v>
      </c>
      <c r="G100" s="3" t="n">
        <v>6</v>
      </c>
      <c r="H100" s="13" t="n">
        <f aca="false">IF(G100&gt;0,ROUND(F100/G100,0),"")</f>
        <v>225314</v>
      </c>
    </row>
    <row r="101" customFormat="false" ht="15" hidden="false" customHeight="false" outlineLevel="0" collapsed="false">
      <c r="A101" s="2" t="s">
        <v>184</v>
      </c>
      <c r="B101" s="3" t="s">
        <v>21</v>
      </c>
      <c r="C101" s="3" t="s">
        <v>185</v>
      </c>
      <c r="D101" s="3" t="n">
        <v>7</v>
      </c>
      <c r="E101" s="12" t="s">
        <v>2</v>
      </c>
      <c r="F101" s="13" t="n">
        <v>1461465</v>
      </c>
      <c r="G101" s="3" t="n">
        <v>1</v>
      </c>
      <c r="H101" s="13" t="n">
        <f aca="false">IF(G101&gt;0,ROUND(F101/G101,0),"")</f>
        <v>1461465</v>
      </c>
    </row>
    <row r="102" customFormat="false" ht="15" hidden="false" customHeight="false" outlineLevel="0" collapsed="false">
      <c r="A102" s="2" t="s">
        <v>186</v>
      </c>
      <c r="B102" s="3" t="s">
        <v>30</v>
      </c>
      <c r="C102" s="3" t="s">
        <v>112</v>
      </c>
      <c r="D102" s="3" t="n">
        <v>5</v>
      </c>
      <c r="E102" s="12" t="s">
        <v>2</v>
      </c>
      <c r="F102" s="13" t="n">
        <v>942147</v>
      </c>
      <c r="G102" s="3" t="n">
        <v>1</v>
      </c>
      <c r="H102" s="13" t="n">
        <f aca="false">IF(G102&gt;0,ROUND(F102/G102,0),"")</f>
        <v>942147</v>
      </c>
    </row>
    <row r="103" customFormat="false" ht="15" hidden="false" customHeight="false" outlineLevel="0" collapsed="false">
      <c r="A103" s="2" t="s">
        <v>187</v>
      </c>
      <c r="B103" s="3" t="s">
        <v>29</v>
      </c>
      <c r="C103" s="3" t="s">
        <v>142</v>
      </c>
      <c r="D103" s="3" t="n">
        <v>5</v>
      </c>
      <c r="E103" s="12" t="s">
        <v>2</v>
      </c>
      <c r="F103" s="13" t="n">
        <v>798113</v>
      </c>
      <c r="G103" s="3" t="n">
        <v>0</v>
      </c>
      <c r="H103" s="13" t="str">
        <f aca="false">IF(G103&gt;0,ROUND(F103/G103,0),"")</f>
        <v/>
      </c>
    </row>
    <row r="104" customFormat="false" ht="15" hidden="false" customHeight="false" outlineLevel="0" collapsed="false">
      <c r="A104" s="2" t="s">
        <v>188</v>
      </c>
      <c r="B104" s="3" t="s">
        <v>28</v>
      </c>
      <c r="C104" s="3" t="s">
        <v>58</v>
      </c>
      <c r="D104" s="3" t="n">
        <v>5</v>
      </c>
      <c r="E104" s="12" t="s">
        <v>2</v>
      </c>
      <c r="F104" s="13" t="n">
        <v>884610</v>
      </c>
      <c r="G104" s="3" t="n">
        <v>2</v>
      </c>
      <c r="H104" s="13" t="n">
        <f aca="false">IF(G104&gt;0,ROUND(F104/G104,0),"")</f>
        <v>442305</v>
      </c>
    </row>
    <row r="105" customFormat="false" ht="15" hidden="false" customHeight="false" outlineLevel="0" collapsed="false">
      <c r="A105" s="2" t="s">
        <v>189</v>
      </c>
      <c r="B105" s="3" t="s">
        <v>28</v>
      </c>
      <c r="C105" s="3" t="s">
        <v>58</v>
      </c>
      <c r="D105" s="3" t="n">
        <v>5</v>
      </c>
      <c r="E105" s="12" t="s">
        <v>2</v>
      </c>
      <c r="F105" s="13" t="n">
        <v>970171</v>
      </c>
      <c r="G105" s="3" t="n">
        <v>0</v>
      </c>
      <c r="H105" s="13" t="str">
        <f aca="false">IF(G105&gt;0,ROUND(F105/G105,0),"")</f>
        <v/>
      </c>
    </row>
    <row r="106" customFormat="false" ht="15" hidden="false" customHeight="false" outlineLevel="0" collapsed="false">
      <c r="A106" s="2" t="s">
        <v>190</v>
      </c>
      <c r="B106" s="3" t="s">
        <v>28</v>
      </c>
      <c r="C106" s="3" t="s">
        <v>58</v>
      </c>
      <c r="D106" s="3" t="n">
        <v>5</v>
      </c>
      <c r="E106" s="12" t="s">
        <v>2</v>
      </c>
      <c r="F106" s="13" t="n">
        <v>952288</v>
      </c>
      <c r="G106" s="3" t="n">
        <v>4</v>
      </c>
      <c r="H106" s="13" t="n">
        <f aca="false">IF(G106&gt;0,ROUND(F106/G106,0),"")</f>
        <v>238072</v>
      </c>
    </row>
    <row r="107" customFormat="false" ht="15" hidden="false" customHeight="false" outlineLevel="0" collapsed="false">
      <c r="A107" s="2" t="s">
        <v>191</v>
      </c>
      <c r="B107" s="3" t="s">
        <v>27</v>
      </c>
      <c r="C107" s="3" t="s">
        <v>69</v>
      </c>
      <c r="D107" s="3" t="n">
        <v>5</v>
      </c>
      <c r="E107" s="12" t="s">
        <v>2</v>
      </c>
      <c r="F107" s="13" t="n">
        <v>1040647</v>
      </c>
      <c r="G107" s="3" t="n">
        <v>2</v>
      </c>
      <c r="H107" s="13" t="n">
        <f aca="false">IF(G107&gt;0,ROUND(F107/G107,0),"")</f>
        <v>520324</v>
      </c>
    </row>
    <row r="108" customFormat="false" ht="15" hidden="false" customHeight="false" outlineLevel="0" collapsed="false">
      <c r="A108" s="2" t="s">
        <v>192</v>
      </c>
      <c r="B108" s="3" t="s">
        <v>27</v>
      </c>
      <c r="C108" s="3" t="s">
        <v>69</v>
      </c>
      <c r="D108" s="3" t="n">
        <v>5</v>
      </c>
      <c r="E108" s="12" t="s">
        <v>2</v>
      </c>
      <c r="F108" s="13" t="n">
        <v>950891</v>
      </c>
      <c r="G108" s="3" t="n">
        <v>1</v>
      </c>
      <c r="H108" s="13" t="n">
        <f aca="false">IF(G108&gt;0,ROUND(F108/G108,0),"")</f>
        <v>950891</v>
      </c>
    </row>
    <row r="109" customFormat="false" ht="15" hidden="false" customHeight="false" outlineLevel="0" collapsed="false">
      <c r="A109" s="2" t="s">
        <v>193</v>
      </c>
      <c r="B109" s="3" t="s">
        <v>27</v>
      </c>
      <c r="C109" s="3" t="s">
        <v>69</v>
      </c>
      <c r="D109" s="3" t="n">
        <v>5</v>
      </c>
      <c r="E109" s="12" t="s">
        <v>2</v>
      </c>
      <c r="F109" s="13" t="n">
        <v>955862</v>
      </c>
      <c r="G109" s="3" t="n">
        <v>3</v>
      </c>
      <c r="H109" s="13" t="n">
        <f aca="false">IF(G109&gt;0,ROUND(F109/G109,0),"")</f>
        <v>318621</v>
      </c>
    </row>
    <row r="110" customFormat="false" ht="15" hidden="false" customHeight="false" outlineLevel="0" collapsed="false">
      <c r="A110" s="2" t="s">
        <v>194</v>
      </c>
      <c r="B110" s="3" t="s">
        <v>27</v>
      </c>
      <c r="C110" s="3" t="s">
        <v>69</v>
      </c>
      <c r="D110" s="3" t="n">
        <v>5</v>
      </c>
      <c r="E110" s="12" t="s">
        <v>2</v>
      </c>
      <c r="F110" s="13" t="n">
        <v>1063059</v>
      </c>
      <c r="G110" s="3" t="n">
        <v>1</v>
      </c>
      <c r="H110" s="13" t="n">
        <f aca="false">IF(G110&gt;0,ROUND(F110/G110,0),"")</f>
        <v>1063059</v>
      </c>
    </row>
    <row r="111" customFormat="false" ht="15" hidden="false" customHeight="false" outlineLevel="0" collapsed="false">
      <c r="A111" s="2" t="s">
        <v>195</v>
      </c>
      <c r="B111" s="3" t="s">
        <v>26</v>
      </c>
      <c r="C111" s="3" t="s">
        <v>158</v>
      </c>
      <c r="D111" s="3" t="n">
        <v>5</v>
      </c>
      <c r="E111" s="12" t="s">
        <v>2</v>
      </c>
      <c r="F111" s="13" t="n">
        <v>921450</v>
      </c>
      <c r="G111" s="3" t="n">
        <v>3</v>
      </c>
      <c r="H111" s="13" t="n">
        <f aca="false">IF(G111&gt;0,ROUND(F111/G111,0),"")</f>
        <v>307150</v>
      </c>
    </row>
    <row r="112" customFormat="false" ht="15" hidden="false" customHeight="false" outlineLevel="0" collapsed="false">
      <c r="A112" s="2" t="s">
        <v>196</v>
      </c>
      <c r="B112" s="3" t="s">
        <v>24</v>
      </c>
      <c r="C112" s="3" t="s">
        <v>64</v>
      </c>
      <c r="D112" s="3" t="n">
        <v>5</v>
      </c>
      <c r="E112" s="12" t="s">
        <v>2</v>
      </c>
      <c r="F112" s="13" t="n">
        <v>1002066</v>
      </c>
      <c r="G112" s="3" t="n">
        <v>4</v>
      </c>
      <c r="H112" s="13" t="n">
        <f aca="false">IF(G112&gt;0,ROUND(F112/G112,0),"")</f>
        <v>250517</v>
      </c>
    </row>
    <row r="113" customFormat="false" ht="15" hidden="false" customHeight="false" outlineLevel="0" collapsed="false">
      <c r="A113" s="2" t="s">
        <v>197</v>
      </c>
      <c r="B113" s="3" t="s">
        <v>22</v>
      </c>
      <c r="C113" s="3" t="s">
        <v>149</v>
      </c>
      <c r="D113" s="3" t="n">
        <v>5</v>
      </c>
      <c r="E113" s="12" t="s">
        <v>2</v>
      </c>
      <c r="F113" s="13" t="n">
        <v>1005417</v>
      </c>
      <c r="G113" s="3" t="n">
        <v>1</v>
      </c>
      <c r="H113" s="13" t="n">
        <f aca="false">IF(G113&gt;0,ROUND(F113/G113,0),"")</f>
        <v>1005417</v>
      </c>
    </row>
    <row r="114" customFormat="false" ht="15" hidden="false" customHeight="false" outlineLevel="0" collapsed="false">
      <c r="A114" s="2" t="s">
        <v>198</v>
      </c>
      <c r="B114" s="3" t="s">
        <v>22</v>
      </c>
      <c r="C114" s="3" t="s">
        <v>149</v>
      </c>
      <c r="D114" s="3" t="n">
        <v>5</v>
      </c>
      <c r="E114" s="12" t="s">
        <v>2</v>
      </c>
      <c r="F114" s="13" t="n">
        <v>953042</v>
      </c>
      <c r="G114" s="3" t="n">
        <v>2</v>
      </c>
      <c r="H114" s="13" t="n">
        <f aca="false">IF(G114&gt;0,ROUND(F114/G114,0),"")</f>
        <v>476521</v>
      </c>
    </row>
    <row r="115" customFormat="false" ht="15" hidden="false" customHeight="false" outlineLevel="0" collapsed="false">
      <c r="A115" s="2" t="s">
        <v>199</v>
      </c>
      <c r="B115" s="3" t="s">
        <v>20</v>
      </c>
      <c r="C115" s="3" t="s">
        <v>71</v>
      </c>
      <c r="D115" s="3" t="n">
        <v>5</v>
      </c>
      <c r="E115" s="12" t="s">
        <v>2</v>
      </c>
      <c r="F115" s="13" t="n">
        <v>997889</v>
      </c>
      <c r="G115" s="3" t="n">
        <v>1</v>
      </c>
      <c r="H115" s="13" t="n">
        <f aca="false">IF(G115&gt;0,ROUND(F115/G115,0),"")</f>
        <v>997889</v>
      </c>
    </row>
    <row r="116" customFormat="false" ht="15" hidden="false" customHeight="false" outlineLevel="0" collapsed="false">
      <c r="A116" s="2" t="s">
        <v>200</v>
      </c>
      <c r="B116" s="3" t="s">
        <v>20</v>
      </c>
      <c r="C116" s="3" t="s">
        <v>71</v>
      </c>
      <c r="D116" s="3" t="n">
        <v>5</v>
      </c>
      <c r="E116" s="12" t="s">
        <v>2</v>
      </c>
      <c r="F116" s="13" t="n">
        <v>1026184</v>
      </c>
      <c r="G116" s="3" t="n">
        <v>3</v>
      </c>
      <c r="H116" s="13" t="n">
        <f aca="false">IF(G116&gt;0,ROUND(F116/G116,0),"")</f>
        <v>342061</v>
      </c>
    </row>
    <row r="117" customFormat="false" ht="15" hidden="false" customHeight="false" outlineLevel="0" collapsed="false">
      <c r="A117" s="2" t="s">
        <v>201</v>
      </c>
      <c r="B117" s="3" t="s">
        <v>19</v>
      </c>
      <c r="C117" s="3" t="s">
        <v>99</v>
      </c>
      <c r="D117" s="3" t="n">
        <v>5</v>
      </c>
      <c r="E117" s="12" t="s">
        <v>2</v>
      </c>
      <c r="F117" s="13" t="n">
        <v>958892</v>
      </c>
      <c r="G117" s="3" t="n">
        <v>5</v>
      </c>
      <c r="H117" s="13" t="n">
        <f aca="false">IF(G117&gt;0,ROUND(F117/G117,0),"")</f>
        <v>191778</v>
      </c>
    </row>
    <row r="118" customFormat="false" ht="15" hidden="false" customHeight="false" outlineLevel="0" collapsed="false">
      <c r="A118" s="2" t="s">
        <v>202</v>
      </c>
      <c r="B118" s="3" t="s">
        <v>19</v>
      </c>
      <c r="C118" s="3" t="s">
        <v>99</v>
      </c>
      <c r="D118" s="3" t="n">
        <v>5</v>
      </c>
      <c r="E118" s="12" t="s">
        <v>2</v>
      </c>
      <c r="F118" s="13" t="n">
        <v>855005</v>
      </c>
      <c r="G118" s="3" t="n">
        <v>1</v>
      </c>
      <c r="H118" s="13" t="n">
        <f aca="false">IF(G118&gt;0,ROUND(F118/G118,0),"")</f>
        <v>855005</v>
      </c>
    </row>
    <row r="119" customFormat="false" ht="15" hidden="false" customHeight="false" outlineLevel="0" collapsed="false">
      <c r="A119" s="2" t="s">
        <v>203</v>
      </c>
      <c r="B119" s="3" t="s">
        <v>19</v>
      </c>
      <c r="C119" s="3" t="s">
        <v>99</v>
      </c>
      <c r="D119" s="3" t="n">
        <v>5</v>
      </c>
      <c r="E119" s="12" t="s">
        <v>2</v>
      </c>
      <c r="F119" s="13" t="n">
        <v>1067911</v>
      </c>
      <c r="G119" s="3" t="n">
        <v>4</v>
      </c>
      <c r="H119" s="13" t="n">
        <f aca="false">IF(G119&gt;0,ROUND(F119/G119,0),"")</f>
        <v>266978</v>
      </c>
    </row>
    <row r="120" customFormat="false" ht="15" hidden="false" customHeight="false" outlineLevel="0" collapsed="false">
      <c r="A120" s="2" t="s">
        <v>204</v>
      </c>
      <c r="B120" s="3" t="s">
        <v>17</v>
      </c>
      <c r="C120" s="3" t="s">
        <v>51</v>
      </c>
      <c r="D120" s="3" t="n">
        <v>5</v>
      </c>
      <c r="E120" s="12" t="s">
        <v>2</v>
      </c>
      <c r="F120" s="13" t="n">
        <v>938550</v>
      </c>
      <c r="G120" s="3" t="n">
        <v>4</v>
      </c>
      <c r="H120" s="13" t="n">
        <f aca="false">IF(G120&gt;0,ROUND(F120/G120,0),"")</f>
        <v>234638</v>
      </c>
    </row>
    <row r="121" customFormat="false" ht="15" hidden="false" customHeight="false" outlineLevel="0" collapsed="false">
      <c r="A121" s="2" t="s">
        <v>205</v>
      </c>
      <c r="B121" s="3" t="s">
        <v>28</v>
      </c>
      <c r="C121" s="3" t="s">
        <v>119</v>
      </c>
      <c r="D121" s="3" t="n">
        <v>3</v>
      </c>
      <c r="E121" s="12" t="s">
        <v>2</v>
      </c>
      <c r="F121" s="13" t="n">
        <v>589242</v>
      </c>
      <c r="G121" s="3" t="n">
        <v>3</v>
      </c>
      <c r="H121" s="13" t="n">
        <f aca="false">IF(G121&gt;0,ROUND(F121/G121,0),"")</f>
        <v>196414</v>
      </c>
    </row>
    <row r="122" customFormat="false" ht="15" hidden="false" customHeight="false" outlineLevel="0" collapsed="false">
      <c r="A122" s="2" t="s">
        <v>206</v>
      </c>
      <c r="B122" s="3" t="s">
        <v>28</v>
      </c>
      <c r="C122" s="3" t="s">
        <v>119</v>
      </c>
      <c r="D122" s="3" t="n">
        <v>3</v>
      </c>
      <c r="E122" s="12" t="s">
        <v>2</v>
      </c>
      <c r="F122" s="13" t="n">
        <v>590599</v>
      </c>
      <c r="G122" s="3" t="n">
        <v>3</v>
      </c>
      <c r="H122" s="13" t="n">
        <f aca="false">IF(G122&gt;0,ROUND(F122/G122,0),"")</f>
        <v>196866</v>
      </c>
    </row>
    <row r="123" customFormat="false" ht="15" hidden="false" customHeight="false" outlineLevel="0" collapsed="false">
      <c r="A123" s="2" t="s">
        <v>207</v>
      </c>
      <c r="B123" s="3" t="s">
        <v>125</v>
      </c>
      <c r="C123" s="3" t="s">
        <v>130</v>
      </c>
      <c r="D123" s="3" t="n">
        <v>3</v>
      </c>
      <c r="E123" s="12" t="s">
        <v>2</v>
      </c>
      <c r="F123" s="13" t="n">
        <v>372635</v>
      </c>
      <c r="G123" s="3" t="n">
        <v>2</v>
      </c>
      <c r="H123" s="13" t="n">
        <f aca="false">IF(G123&gt;0,ROUND(F123/G123,0),"")</f>
        <v>186318</v>
      </c>
    </row>
    <row r="124" customFormat="false" ht="15" hidden="false" customHeight="false" outlineLevel="0" collapsed="false">
      <c r="A124" s="8" t="s">
        <v>208</v>
      </c>
      <c r="B124" s="9" t="s">
        <v>31</v>
      </c>
      <c r="C124" s="9" t="s">
        <v>44</v>
      </c>
      <c r="D124" s="9" t="n">
        <v>2</v>
      </c>
      <c r="E124" s="10" t="s">
        <v>45</v>
      </c>
      <c r="F124" s="11" t="n">
        <v>359636</v>
      </c>
      <c r="G124" s="9" t="n">
        <v>0</v>
      </c>
      <c r="H124" s="11" t="str">
        <f aca="false">IF(G124&gt;0,ROUND(F124/G124,0),"")</f>
        <v/>
      </c>
    </row>
    <row r="125" customFormat="false" ht="15" hidden="false" customHeight="false" outlineLevel="0" collapsed="false">
      <c r="A125" s="8" t="s">
        <v>209</v>
      </c>
      <c r="B125" s="9" t="s">
        <v>31</v>
      </c>
      <c r="C125" s="9" t="s">
        <v>44</v>
      </c>
      <c r="D125" s="9" t="n">
        <v>2</v>
      </c>
      <c r="E125" s="10" t="s">
        <v>45</v>
      </c>
      <c r="F125" s="11" t="n">
        <v>340914</v>
      </c>
      <c r="G125" s="9" t="n">
        <v>0</v>
      </c>
      <c r="H125" s="11" t="str">
        <f aca="false">IF(G125&gt;0,ROUND(F125/G125,0),"")</f>
        <v/>
      </c>
    </row>
    <row r="126" customFormat="false" ht="15" hidden="false" customHeight="false" outlineLevel="0" collapsed="false">
      <c r="A126" s="8" t="s">
        <v>210</v>
      </c>
      <c r="B126" s="9" t="s">
        <v>31</v>
      </c>
      <c r="C126" s="9" t="s">
        <v>44</v>
      </c>
      <c r="D126" s="9" t="n">
        <v>2</v>
      </c>
      <c r="E126" s="10" t="s">
        <v>45</v>
      </c>
      <c r="F126" s="11" t="n">
        <v>372324</v>
      </c>
      <c r="G126" s="9" t="n">
        <v>1</v>
      </c>
      <c r="H126" s="11" t="n">
        <f aca="false">IF(G126&gt;0,ROUND(F126/G126,0),"")</f>
        <v>372324</v>
      </c>
    </row>
    <row r="128" customFormat="false" ht="17.15" hidden="false" customHeight="false" outlineLevel="0" collapsed="false">
      <c r="A128" s="4" t="s">
        <v>211</v>
      </c>
      <c r="C128" s="14" t="s">
        <v>212</v>
      </c>
      <c r="D128" s="4" t="n">
        <f aca="false">ROUND(AVERAGE(D2:D126),1)</f>
        <v>26.3</v>
      </c>
      <c r="E128" s="4" t="n">
        <f aca="false">ROUND(MEDIAN(D2:D126),0)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2026-07-07T01:01:04Z</dcterms:created>
  <dc:creator>openpyxl</dc:creator>
  <dc:description/>
  <dc:language>en-US</dc:language>
  <cp:lastModifiedBy/>
  <dcterms:modified xsi:type="dcterms:W3CDTF">2026-07-07T01:01:04Z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